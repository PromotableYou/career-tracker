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cipient Profile" sheetId="2" state="visible" r:id="rId2"/>
    <sheet name="Onboarding &amp; Agreement" sheetId="3" state="visible" r:id="rId3"/>
    <sheet name="Weekly Engagement Log" sheetId="4" state="visible" r:id="rId4"/>
    <sheet name="Session Log" sheetId="5" state="visible" r:id="rId5"/>
    <sheet name="Activity Log" sheetId="6" state="visible" r:id="rId6"/>
    <sheet name="Coach Notes &amp; Wellbeing Flags" sheetId="7" state="visible" r:id="rId7"/>
    <sheet name="Withdrawal Risk Monitor" sheetId="8" state="visible" r:id="rId8"/>
    <sheet name="Communications Log" sheetId="9" state="visible" r:id="rId9"/>
    <sheet name="Reference Da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263746"/>
      <sz val="10"/>
    </font>
    <font>
      <name val="Calibri"/>
      <b val="1"/>
      <color rgb="00FFFFFF"/>
      <sz val="16"/>
    </font>
    <font>
      <name val="Calibri"/>
      <i val="1"/>
      <color rgb="00263746"/>
      <sz val="10"/>
    </font>
    <font>
      <name val="Calibri"/>
      <b val="1"/>
      <color rgb="00263746"/>
      <sz val="11"/>
    </font>
    <font>
      <name val="Calibri"/>
      <b val="1"/>
      <color rgb="00263746"/>
      <sz val="22"/>
    </font>
    <font>
      <name val="Calibri"/>
      <b val="1"/>
      <color rgb="009C0006"/>
      <sz val="10"/>
    </font>
    <font>
      <name val="Calibri"/>
      <i val="1"/>
      <color rgb="007A8FA3"/>
      <sz val="9"/>
    </font>
  </fonts>
  <fills count="10">
    <fill>
      <patternFill/>
    </fill>
    <fill>
      <patternFill patternType="gray125"/>
    </fill>
    <fill>
      <patternFill patternType="solid">
        <fgColor rgb="00263746"/>
      </patternFill>
    </fill>
    <fill>
      <patternFill patternType="solid">
        <fgColor rgb="00F8F5F2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EEF3FA"/>
      </patternFill>
    </fill>
    <fill>
      <patternFill patternType="solid">
        <fgColor rgb="00D4AF37"/>
      </patternFill>
    </fill>
    <fill>
      <patternFill patternType="solid">
        <fgColor rgb="004A5C6B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8E4EC"/>
      </left>
      <right style="thin">
        <color rgb="00D8E4EC"/>
      </right>
      <top style="thin">
        <color rgb="00D8E4EC"/>
      </top>
      <bottom style="thin">
        <color rgb="00D8E4E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8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name val="Calibri"/>
        <color rgb="00276221"/>
      </font>
      <fill>
        <patternFill patternType="solid">
          <fgColor rgb="00C6EFCE"/>
        </patternFill>
      </fill>
    </dxf>
    <dxf>
      <font>
        <name val="Calibri"/>
        <color rgb="009C6500"/>
      </font>
      <fill>
        <patternFill patternType="solid">
          <fgColor rgb="00FFEB9C"/>
        </patternFill>
      </fill>
    </dxf>
    <dxf>
      <font>
        <name val="Calibr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Calibri"/>
        <color rgb="00FFFFFF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63746"/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6" customWidth="1" min="4" max="4"/>
    <col width="30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CAP Scholarship Program — Tracker Dashboard</t>
        </is>
      </c>
    </row>
    <row r="2" ht="22" customHeight="1"/>
    <row r="3" ht="18" customHeight="1">
      <c r="A3" s="2">
        <f>CONCATENATE("Last updated: ",TEXT(TODAY(),"DD MMM YYYY"))</f>
        <v/>
      </c>
    </row>
    <row r="4" ht="8" customHeight="1"/>
    <row r="5" ht="20" customHeight="1">
      <c r="A5" s="3" t="inlineStr">
        <is>
          <t>Program KPIs</t>
        </is>
      </c>
    </row>
    <row r="6" ht="20" customHeight="1">
      <c r="A6" s="4" t="inlineStr">
        <is>
          <t>Active Scholarships</t>
        </is>
      </c>
      <c r="C6" s="4" t="inlineStr">
        <is>
          <t>At-Risk Recipients</t>
        </is>
      </c>
      <c r="E6" s="4" t="inlineStr">
        <is>
          <t>Met Commitment This Week</t>
        </is>
      </c>
      <c r="G6" s="4" t="inlineStr">
        <is>
          <t>Total Sessions This Month</t>
        </is>
      </c>
    </row>
    <row r="7" ht="40" customHeight="1">
      <c r="A7" s="5">
        <f>COUNTIF('Recipient Profile'!J:J,"Active")</f>
        <v/>
      </c>
      <c r="C7" s="5">
        <f>COUNTIF('Recipient Profile'!O:O,"Red")</f>
        <v/>
      </c>
      <c r="E7" s="5">
        <f>COUNTIF('Weekly Engagement Log'!K:K,"Yes")</f>
        <v/>
      </c>
      <c r="G7" s="5">
        <f>COUNTA('Session Log'!A:A)-1</f>
        <v/>
      </c>
    </row>
    <row r="8" ht="8" customHeight="1">
      <c r="A8" s="6" t="n"/>
      <c r="C8" s="6" t="n"/>
      <c r="E8" s="6" t="n"/>
      <c r="G8" s="6" t="n"/>
    </row>
    <row r="9" ht="8" customHeight="1"/>
    <row r="10" ht="20" customHeight="1">
      <c r="A10" s="3" t="inlineStr">
        <is>
          <t>Recipients Needing Outreach</t>
        </is>
      </c>
    </row>
    <row r="11" ht="18" customHeight="1">
      <c r="A11" s="7" t="inlineStr">
        <is>
          <t>Recipient ID</t>
        </is>
      </c>
      <c r="B11" s="7" t="inlineStr">
        <is>
          <t>Name</t>
        </is>
      </c>
      <c r="C11" s="7" t="inlineStr">
        <is>
          <t>Risk Level</t>
        </is>
      </c>
      <c r="D11" s="7" t="inlineStr">
        <is>
          <t>Days Silent</t>
        </is>
      </c>
      <c r="E11" s="7" t="inlineStr">
        <is>
          <t>Recommended Action</t>
        </is>
      </c>
      <c r="F11" s="7" t="n"/>
      <c r="G11" s="7" t="n"/>
      <c r="H11" s="7" t="n"/>
      <c r="I11" s="7" t="n"/>
      <c r="J11" s="7" t="n"/>
    </row>
    <row r="12" ht="18" customHeight="1">
      <c r="A12" s="8" t="inlineStr">
        <is>
          <t>SCH-003</t>
        </is>
      </c>
      <c r="B12" s="8" t="inlineStr">
        <is>
          <t>Aisha Okonkwo</t>
        </is>
      </c>
      <c r="C12" s="9" t="inlineStr">
        <is>
          <t>Red</t>
        </is>
      </c>
      <c r="D12" s="8" t="inlineStr">
        <is>
          <t>16 days silent</t>
        </is>
      </c>
      <c r="E12" s="8" t="inlineStr">
        <is>
          <t>Begin withdrawal conversation per agreement clause 3</t>
        </is>
      </c>
      <c r="F12" s="8" t="inlineStr"/>
      <c r="G12" s="8" t="inlineStr"/>
      <c r="H12" s="8" t="inlineStr"/>
      <c r="I12" s="8" t="inlineStr"/>
      <c r="J12" s="8" t="inlineStr"/>
    </row>
    <row r="13" ht="16" customHeight="1">
      <c r="A13" s="10" t="inlineStr">
        <is>
          <t>See Withdrawal Risk Monitor tab for full detail and recommended actions</t>
        </is>
      </c>
    </row>
    <row r="14" ht="6" customHeight="1"/>
    <row r="15" ht="6" customHeight="1"/>
    <row r="16" ht="8" customHeight="1"/>
    <row r="17" ht="20" customHeight="1">
      <c r="A17" s="3" t="inlineStr">
        <is>
          <t>Upcoming Check-ins Due (Next 7 Days)</t>
        </is>
      </c>
    </row>
    <row r="18" ht="18" customHeight="1">
      <c r="A18" s="7" t="inlineStr">
        <is>
          <t>Recipient ID</t>
        </is>
      </c>
      <c r="B18" s="7" t="inlineStr">
        <is>
          <t>Name</t>
        </is>
      </c>
      <c r="C18" s="7" t="inlineStr">
        <is>
          <t>Milestone</t>
        </is>
      </c>
      <c r="D18" s="7" t="inlineStr">
        <is>
          <t>Due Date</t>
        </is>
      </c>
      <c r="E18" s="7" t="n"/>
      <c r="F18" s="7" t="n"/>
      <c r="G18" s="7" t="n"/>
      <c r="H18" s="7" t="n"/>
      <c r="I18" s="7" t="n"/>
      <c r="J18" s="7" t="n"/>
    </row>
    <row r="19" ht="18" customHeight="1">
      <c r="A19" s="8" t="inlineStr">
        <is>
          <t>SCH-002</t>
        </is>
      </c>
      <c r="B19" s="8" t="inlineStr">
        <is>
          <t>Marcus Webb</t>
        </is>
      </c>
      <c r="C19" s="8" t="inlineStr">
        <is>
          <t>60-day check-in</t>
        </is>
      </c>
      <c r="D19" s="11" t="n">
        <v>46174</v>
      </c>
      <c r="E19" s="8" t="inlineStr"/>
      <c r="F19" s="8" t="inlineStr"/>
      <c r="G19" s="8" t="inlineStr"/>
      <c r="H19" s="8" t="inlineStr"/>
      <c r="I19" s="8" t="inlineStr"/>
      <c r="J19" s="8" t="inlineStr"/>
    </row>
    <row r="20" ht="16" customHeight="1">
      <c r="A20" s="10" t="inlineStr">
        <is>
          <t>Check Onboarding &amp; Agreement tab for full milestone tracker</t>
        </is>
      </c>
    </row>
    <row r="21" ht="6" customHeight="1"/>
    <row r="22" ht="6" customHeight="1"/>
    <row r="23" ht="8" customHeight="1"/>
    <row r="24" ht="20" customHeight="1">
      <c r="A24" s="3" t="inlineStr">
        <is>
          <t>Recipient Status at a Glance</t>
        </is>
      </c>
    </row>
    <row r="25" ht="18" customHeight="1">
      <c r="A25" s="7" t="inlineStr">
        <is>
          <t>Name</t>
        </is>
      </c>
      <c r="B25" s="7" t="inlineStr">
        <is>
          <t>Stage</t>
        </is>
      </c>
      <c r="C25" s="7" t="inlineStr">
        <is>
          <t>Risk Level</t>
        </is>
      </c>
      <c r="D25" s="7" t="inlineStr">
        <is>
          <t>Days Since Engagement</t>
        </is>
      </c>
      <c r="E25" s="7" t="inlineStr">
        <is>
          <t>Engagement Score (Last Week)</t>
        </is>
      </c>
      <c r="F25" s="7" t="inlineStr">
        <is>
          <t>Commitment Met?</t>
        </is>
      </c>
      <c r="G25" s="7" t="n"/>
      <c r="H25" s="7" t="n"/>
      <c r="I25" s="7" t="n"/>
      <c r="J25" s="7" t="n"/>
    </row>
    <row r="26" ht="18" customHeight="1">
      <c r="A26" s="12">
        <f>'Recipient Profile'!B2</f>
        <v/>
      </c>
      <c r="B26" s="12">
        <f>'Recipient Profile'!J2</f>
        <v/>
      </c>
      <c r="C26" s="12">
        <f>'Recipient Profile'!O2</f>
        <v/>
      </c>
      <c r="D26" s="12">
        <f>'Recipient Profile'!N2</f>
        <v/>
      </c>
      <c r="E26" s="12" t="n">
        <v>4</v>
      </c>
      <c r="F26" s="12" t="inlineStr">
        <is>
          <t>Yes</t>
        </is>
      </c>
      <c r="G26" s="12" t="inlineStr"/>
      <c r="H26" s="12" t="inlineStr"/>
      <c r="I26" s="12" t="inlineStr"/>
      <c r="J26" s="12" t="inlineStr"/>
    </row>
    <row r="27" ht="18" customHeight="1">
      <c r="A27" s="8">
        <f>'Recipient Profile'!B3</f>
        <v/>
      </c>
      <c r="B27" s="8">
        <f>'Recipient Profile'!J3</f>
        <v/>
      </c>
      <c r="C27" s="8">
        <f>'Recipient Profile'!O3</f>
        <v/>
      </c>
      <c r="D27" s="8">
        <f>'Recipient Profile'!N3</f>
        <v/>
      </c>
      <c r="E27" s="8" t="n">
        <v>4</v>
      </c>
      <c r="F27" s="8" t="inlineStr">
        <is>
          <t>Yes</t>
        </is>
      </c>
      <c r="G27" s="8" t="inlineStr"/>
      <c r="H27" s="8" t="inlineStr"/>
      <c r="I27" s="8" t="inlineStr"/>
      <c r="J27" s="8" t="inlineStr"/>
    </row>
    <row r="28" ht="18" customHeight="1">
      <c r="A28" s="12">
        <f>'Recipient Profile'!B4</f>
        <v/>
      </c>
      <c r="B28" s="12">
        <f>'Recipient Profile'!J4</f>
        <v/>
      </c>
      <c r="C28" s="12">
        <f>'Recipient Profile'!O4</f>
        <v/>
      </c>
      <c r="D28" s="12">
        <f>'Recipient Profile'!N4</f>
        <v/>
      </c>
      <c r="E28" s="12" t="n">
        <v>0</v>
      </c>
      <c r="F28" s="12" t="inlineStr">
        <is>
          <t>No</t>
        </is>
      </c>
      <c r="G28" s="12" t="inlineStr"/>
      <c r="H28" s="12" t="inlineStr"/>
      <c r="I28" s="12" t="inlineStr"/>
      <c r="J28" s="12" t="inlineStr"/>
    </row>
  </sheetData>
  <mergeCells count="20">
    <mergeCell ref="A1:J2"/>
    <mergeCell ref="C6:D6"/>
    <mergeCell ref="A17:J17"/>
    <mergeCell ref="A20:J20"/>
    <mergeCell ref="G8:H8"/>
    <mergeCell ref="A10:J10"/>
    <mergeCell ref="E8:F8"/>
    <mergeCell ref="A6:B6"/>
    <mergeCell ref="A13:J13"/>
    <mergeCell ref="A7:B7"/>
    <mergeCell ref="G7:H7"/>
    <mergeCell ref="G6:H6"/>
    <mergeCell ref="A24:J24"/>
    <mergeCell ref="E6:F6"/>
    <mergeCell ref="A5:H5"/>
    <mergeCell ref="A8:B8"/>
    <mergeCell ref="C8:D8"/>
    <mergeCell ref="C7:D7"/>
    <mergeCell ref="E7:F7"/>
    <mergeCell ref="A3:J3"/>
  </mergeCells>
  <conditionalFormatting sqref="C26:C32">
    <cfRule type="expression" priority="1" dxfId="0">
      <formula>C26="Green"</formula>
    </cfRule>
    <cfRule type="expression" priority="2" dxfId="1">
      <formula>C26="Amber"</formula>
    </cfRule>
    <cfRule type="expression" priority="3" dxfId="2">
      <formula>C26="Red"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F37"/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8" customWidth="1" min="4" max="4"/>
    <col width="15" customWidth="1" min="5" max="5"/>
    <col width="18" customWidth="1" min="6" max="6"/>
    <col width="18" customWidth="1" min="7" max="7"/>
    <col width="20" customWidth="1" min="8" max="8"/>
    <col width="40" customWidth="1" min="9" max="9"/>
    <col width="15" customWidth="1" min="10" max="10"/>
    <col width="15" customWidth="1" min="11" max="11"/>
    <col width="18" customWidth="1" min="12" max="12"/>
    <col width="20" customWidth="1" min="13" max="13"/>
    <col width="22" customWidth="1" min="14" max="14"/>
    <col width="12" customWidth="1" min="15" max="15"/>
    <col width="40" customWidth="1" min="16" max="16"/>
  </cols>
  <sheetData>
    <row r="1" ht="22" customHeight="1">
      <c r="A1" s="4" t="inlineStr">
        <is>
          <t>Recipient ID</t>
        </is>
      </c>
      <c r="B1" s="4" t="inlineStr">
        <is>
          <t>Full Name</t>
        </is>
      </c>
      <c r="C1" s="4" t="inlineStr">
        <is>
          <t>Preferred Name</t>
        </is>
      </c>
      <c r="D1" s="4" t="inlineStr">
        <is>
          <t>Email</t>
        </is>
      </c>
      <c r="E1" s="4" t="inlineStr">
        <is>
          <t>Phone</t>
        </is>
      </c>
      <c r="F1" s="4" t="inlineStr">
        <is>
          <t>Scholarship Start Date</t>
        </is>
      </c>
      <c r="G1" s="4" t="inlineStr">
        <is>
          <t>Scholarship End Date</t>
        </is>
      </c>
      <c r="H1" s="4" t="inlineStr">
        <is>
          <t>Coach Assigned</t>
        </is>
      </c>
      <c r="I1" s="4" t="inlineStr">
        <is>
          <t>Application Reason (Summary)</t>
        </is>
      </c>
      <c r="J1" s="4" t="inlineStr">
        <is>
          <t>Current Stage</t>
        </is>
      </c>
      <c r="K1" s="4" t="inlineStr">
        <is>
          <t>Agreement Signed</t>
        </is>
      </c>
      <c r="L1" s="4" t="inlineStr">
        <is>
          <t>Agreement Signed Date</t>
        </is>
      </c>
      <c r="M1" s="4" t="inlineStr">
        <is>
          <t>Last Engagement Date</t>
        </is>
      </c>
      <c r="N1" s="4" t="inlineStr">
        <is>
          <t>Days Since Last Engagement</t>
        </is>
      </c>
      <c r="O1" s="4" t="inlineStr">
        <is>
          <t>Risk Level</t>
        </is>
      </c>
      <c r="P1" s="4" t="inlineStr">
        <is>
          <t>Notes (Visible)</t>
        </is>
      </c>
    </row>
    <row r="2" ht="18" customHeight="1">
      <c r="A2" s="13" t="inlineStr">
        <is>
          <t>SCH-001</t>
        </is>
      </c>
      <c r="B2" s="13" t="inlineStr">
        <is>
          <t>Jane Thompson</t>
        </is>
      </c>
      <c r="C2" s="13" t="inlineStr">
        <is>
          <t>Jane</t>
        </is>
      </c>
      <c r="D2" s="13" t="inlineStr">
        <is>
          <t>jane.thompson@email.com</t>
        </is>
      </c>
      <c r="E2" s="13" t="inlineStr">
        <is>
          <t>0412 345 678</t>
        </is>
      </c>
      <c r="F2" s="14" t="n">
        <v>46037</v>
      </c>
      <c r="G2" s="14">
        <f>IFERROR(F2+180,"")</f>
        <v/>
      </c>
      <c r="H2" s="13" t="inlineStr">
        <is>
          <t>Sarah Mitchell</t>
        </is>
      </c>
      <c r="I2" s="13" t="inlineStr">
        <is>
          <t>Returning to workforce after career break</t>
        </is>
      </c>
      <c r="J2" s="13" t="inlineStr">
        <is>
          <t>Active</t>
        </is>
      </c>
      <c r="K2" s="13" t="inlineStr">
        <is>
          <t>Yes</t>
        </is>
      </c>
      <c r="L2" s="14" t="n">
        <v>46042</v>
      </c>
      <c r="M2" s="14">
        <f>IFERROR(MAXIFS('Weekly Engagement Log'!B:B,'Weekly Engagement Log'!A:A,A2),"")</f>
        <v/>
      </c>
      <c r="N2" s="15">
        <f>IFERROR(IF(M2="","",TODAY()-M2),"")</f>
        <v/>
      </c>
      <c r="O2" s="13">
        <f>IFERROR(IF(OR(J2="Completed",J2="Withdrawn",J2="Paused"),"—",IF(N2="","No data",IF(N2&lt;7,"Green",IF(N2&lt;14,"Amber","Red")))),"")</f>
        <v/>
      </c>
      <c r="P2" s="13" t="inlineStr">
        <is>
          <t>Highly motivated, strong communicator</t>
        </is>
      </c>
    </row>
    <row r="3" ht="18" customHeight="1">
      <c r="A3" s="13" t="inlineStr">
        <is>
          <t>SCH-002</t>
        </is>
      </c>
      <c r="B3" s="13" t="inlineStr">
        <is>
          <t>Marcus Webb</t>
        </is>
      </c>
      <c r="C3" s="13" t="inlineStr">
        <is>
          <t>Marc</t>
        </is>
      </c>
      <c r="D3" s="13" t="inlineStr">
        <is>
          <t>marcus.webb@email.com</t>
        </is>
      </c>
      <c r="E3" s="13" t="inlineStr">
        <is>
          <t>0423 456 789</t>
        </is>
      </c>
      <c r="F3" s="14" t="n">
        <v>46054</v>
      </c>
      <c r="G3" s="14">
        <f>IFERROR(F3+180,"")</f>
        <v/>
      </c>
      <c r="H3" s="13" t="inlineStr">
        <is>
          <t>Emma Clarke</t>
        </is>
      </c>
      <c r="I3" s="13" t="inlineStr">
        <is>
          <t>First-generation professional seeking corporate role</t>
        </is>
      </c>
      <c r="J3" s="13" t="inlineStr">
        <is>
          <t>Active</t>
        </is>
      </c>
      <c r="K3" s="13" t="inlineStr">
        <is>
          <t>Yes</t>
        </is>
      </c>
      <c r="L3" s="14" t="n">
        <v>46058</v>
      </c>
      <c r="M3" s="14">
        <f>IFERROR(MAXIFS('Weekly Engagement Log'!B:B,'Weekly Engagement Log'!A:A,A3),"")</f>
        <v/>
      </c>
      <c r="N3" s="15">
        <f>IFERROR(IF(M3="","",TODAY()-M3),"")</f>
        <v/>
      </c>
      <c r="O3" s="13">
        <f>IFERROR(IF(OR(J3="Completed",J3="Withdrawn",J3="Paused"),"—",IF(N3="","No data",IF(N3&lt;7,"Green",IF(N3&lt;14,"Amber","Red")))),"")</f>
        <v/>
      </c>
      <c r="P3" s="13" t="inlineStr">
        <is>
          <t>Strong technical background, needs confidence building</t>
        </is>
      </c>
    </row>
    <row r="4" ht="18" customHeight="1">
      <c r="A4" s="13" t="inlineStr">
        <is>
          <t>SCH-003</t>
        </is>
      </c>
      <c r="B4" s="13" t="inlineStr">
        <is>
          <t>Aisha Okonkwo</t>
        </is>
      </c>
      <c r="C4" s="13" t="inlineStr">
        <is>
          <t>Aisha</t>
        </is>
      </c>
      <c r="D4" s="13" t="inlineStr">
        <is>
          <t>aisha.okonkwo@email.com</t>
        </is>
      </c>
      <c r="E4" s="13" t="inlineStr">
        <is>
          <t>0434 567 890</t>
        </is>
      </c>
      <c r="F4" s="14" t="n">
        <v>46068</v>
      </c>
      <c r="G4" s="14">
        <f>IFERROR(F4+180,"")</f>
        <v/>
      </c>
      <c r="H4" s="13" t="inlineStr">
        <is>
          <t>James Hartley</t>
        </is>
      </c>
      <c r="I4" s="13" t="inlineStr">
        <is>
          <t>Redundancy, needs rapid re-entry support</t>
        </is>
      </c>
      <c r="J4" s="13" t="inlineStr">
        <is>
          <t>At-Risk</t>
        </is>
      </c>
      <c r="K4" s="13" t="inlineStr">
        <is>
          <t>No</t>
        </is>
      </c>
      <c r="L4" s="14" t="n"/>
      <c r="M4" s="14">
        <f>IFERROR(MAXIFS('Weekly Engagement Log'!B:B,'Weekly Engagement Log'!A:A,A4),"")</f>
        <v/>
      </c>
      <c r="N4" s="15">
        <f>IFERROR(IF(M4="","",TODAY()-M4),"")</f>
        <v/>
      </c>
      <c r="O4" s="13">
        <f>IFERROR(IF(OR(J4="Completed",J4="Withdrawn",J4="Paused"),"—",IF(N4="","No data",IF(N4&lt;7,"Green",IF(N4&lt;14,"Amber","Red")))),"")</f>
        <v/>
      </c>
      <c r="P4" s="13" t="inlineStr">
        <is>
          <t>Has missed last 2 check-ins</t>
        </is>
      </c>
    </row>
  </sheetData>
  <conditionalFormatting sqref="O2:O1000">
    <cfRule type="expression" priority="1" dxfId="0">
      <formula>O2="Green"</formula>
    </cfRule>
    <cfRule type="expression" priority="2" dxfId="1">
      <formula>O2="Amber"</formula>
    </cfRule>
    <cfRule type="expression" priority="3" dxfId="2">
      <formula>O2="Red"</formula>
    </cfRule>
  </conditionalFormatting>
  <dataValidations count="3">
    <dataValidation sqref="H2:H1000" showDropDown="0" showInputMessage="0" showErrorMessage="0" allowBlank="1" type="list">
      <formula1>'Reference Data'!$A$2:$A$5</formula1>
    </dataValidation>
    <dataValidation sqref="J2:J1000" showDropDown="0" showInputMessage="0" showErrorMessage="0" allowBlank="1" type="list">
      <formula1>'Reference Data'!$B$2:$B$7</formula1>
    </dataValidation>
    <dataValidation sqref="K2:K1000" showDropDown="0" showInputMessage="0" showErrorMessage="0" allowBlank="1" type="list">
      <formula1>'Reference Data'!$J$2:$J$3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4AF37"/>
    <outlinePr summaryBelow="1" summaryRight="1"/>
    <pageSetUpPr/>
  </sheetPr>
  <dimension ref="A1: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8" customWidth="1" min="4" max="4"/>
    <col width="20" customWidth="1" min="5" max="5"/>
    <col width="40" customWidth="1" min="6" max="6"/>
    <col width="15" customWidth="1" min="7" max="7"/>
  </cols>
  <sheetData>
    <row r="1" ht="28" customHeight="1">
      <c r="A1" s="16" t="inlineStr">
        <is>
          <t>Onboarding &amp; Agreement Milestone Tracker</t>
        </is>
      </c>
    </row>
    <row r="2" ht="22" customHeight="1">
      <c r="A2" s="4" t="inlineStr">
        <is>
          <t>Recipient ID</t>
        </is>
      </c>
      <c r="B2" s="4" t="inlineStr">
        <is>
          <t>Recipient Name</t>
        </is>
      </c>
      <c r="C2" s="4" t="inlineStr">
        <is>
          <t>Milestone</t>
        </is>
      </c>
      <c r="D2" s="4" t="inlineStr">
        <is>
          <t>Date Completed</t>
        </is>
      </c>
      <c r="E2" s="4" t="inlineStr">
        <is>
          <t>Completed By</t>
        </is>
      </c>
      <c r="F2" s="4" t="inlineStr">
        <is>
          <t>Notes</t>
        </is>
      </c>
      <c r="G2" s="4" t="inlineStr">
        <is>
          <t>Status</t>
        </is>
      </c>
    </row>
    <row r="3" ht="18" customHeight="1">
      <c r="A3" s="12" t="inlineStr">
        <is>
          <t>SCH-001</t>
        </is>
      </c>
      <c r="B3" s="12" t="inlineStr">
        <is>
          <t>Jane Thompson</t>
        </is>
      </c>
      <c r="C3" s="12" t="inlineStr">
        <is>
          <t>Application received</t>
        </is>
      </c>
      <c r="D3" s="17" t="n">
        <v>46032</v>
      </c>
      <c r="E3" s="12" t="inlineStr">
        <is>
          <t>Program Team</t>
        </is>
      </c>
      <c r="F3" s="12" t="inlineStr"/>
      <c r="G3" s="12" t="inlineStr">
        <is>
          <t>Complete</t>
        </is>
      </c>
    </row>
    <row r="4" ht="18" customHeight="1">
      <c r="A4" s="8" t="inlineStr">
        <is>
          <t>SCH-001</t>
        </is>
      </c>
      <c r="B4" s="8" t="inlineStr">
        <is>
          <t>Jane Thompson</t>
        </is>
      </c>
      <c r="C4" s="8" t="inlineStr">
        <is>
          <t>Application reviewed</t>
        </is>
      </c>
      <c r="D4" s="11" t="n">
        <v>46033</v>
      </c>
      <c r="E4" s="8" t="inlineStr">
        <is>
          <t>Program Team</t>
        </is>
      </c>
      <c r="F4" s="8" t="inlineStr"/>
      <c r="G4" s="8" t="inlineStr">
        <is>
          <t>Complete</t>
        </is>
      </c>
    </row>
    <row r="5" ht="18" customHeight="1">
      <c r="A5" s="12" t="inlineStr">
        <is>
          <t>SCH-001</t>
        </is>
      </c>
      <c r="B5" s="12" t="inlineStr">
        <is>
          <t>Jane Thompson</t>
        </is>
      </c>
      <c r="C5" s="12" t="inlineStr">
        <is>
          <t>Scholarship offered</t>
        </is>
      </c>
      <c r="D5" s="17" t="n">
        <v>46034</v>
      </c>
      <c r="E5" s="12" t="inlineStr">
        <is>
          <t>Program Team</t>
        </is>
      </c>
      <c r="F5" s="12" t="inlineStr"/>
      <c r="G5" s="12" t="inlineStr">
        <is>
          <t>Complete</t>
        </is>
      </c>
    </row>
    <row r="6" ht="18" customHeight="1">
      <c r="A6" s="8" t="inlineStr">
        <is>
          <t>SCH-001</t>
        </is>
      </c>
      <c r="B6" s="8" t="inlineStr">
        <is>
          <t>Jane Thompson</t>
        </is>
      </c>
      <c r="C6" s="8" t="inlineStr">
        <is>
          <t>Agreement sent</t>
        </is>
      </c>
      <c r="D6" s="11" t="n">
        <v>46035</v>
      </c>
      <c r="E6" s="8" t="inlineStr">
        <is>
          <t>Program Team</t>
        </is>
      </c>
      <c r="F6" s="8" t="inlineStr"/>
      <c r="G6" s="8" t="inlineStr">
        <is>
          <t>Complete</t>
        </is>
      </c>
    </row>
    <row r="7" ht="18" customHeight="1">
      <c r="A7" s="12" t="inlineStr">
        <is>
          <t>SCH-001</t>
        </is>
      </c>
      <c r="B7" s="12" t="inlineStr">
        <is>
          <t>Jane Thompson</t>
        </is>
      </c>
      <c r="C7" s="12" t="inlineStr">
        <is>
          <t>Agreement signed</t>
        </is>
      </c>
      <c r="D7" s="17" t="n">
        <v>46042</v>
      </c>
      <c r="E7" s="12" t="inlineStr">
        <is>
          <t>Program Team</t>
        </is>
      </c>
      <c r="F7" s="12" t="inlineStr"/>
      <c r="G7" s="12" t="inlineStr">
        <is>
          <t>Complete</t>
        </is>
      </c>
    </row>
    <row r="8" ht="18" customHeight="1">
      <c r="A8" s="8" t="inlineStr">
        <is>
          <t>SCH-001</t>
        </is>
      </c>
      <c r="B8" s="8" t="inlineStr">
        <is>
          <t>Jane Thompson</t>
        </is>
      </c>
      <c r="C8" s="8" t="inlineStr">
        <is>
          <t>Welcome email sent</t>
        </is>
      </c>
      <c r="D8" s="11" t="n">
        <v>46043</v>
      </c>
      <c r="E8" s="8" t="inlineStr">
        <is>
          <t>Program Team</t>
        </is>
      </c>
      <c r="F8" s="8" t="inlineStr"/>
      <c r="G8" s="8" t="inlineStr">
        <is>
          <t>Complete</t>
        </is>
      </c>
    </row>
    <row r="9" ht="18" customHeight="1">
      <c r="A9" s="12" t="inlineStr">
        <is>
          <t>SCH-001</t>
        </is>
      </c>
      <c r="B9" s="12" t="inlineStr">
        <is>
          <t>Jane Thompson</t>
        </is>
      </c>
      <c r="C9" s="12" t="inlineStr">
        <is>
          <t>Intro/welcome call booked</t>
        </is>
      </c>
      <c r="D9" s="17" t="n">
        <v>46044</v>
      </c>
      <c r="E9" s="12" t="inlineStr">
        <is>
          <t>Program Team</t>
        </is>
      </c>
      <c r="F9" s="12" t="inlineStr"/>
      <c r="G9" s="12" t="inlineStr">
        <is>
          <t>Complete</t>
        </is>
      </c>
    </row>
    <row r="10" ht="18" customHeight="1">
      <c r="A10" s="8" t="inlineStr">
        <is>
          <t>SCH-001</t>
        </is>
      </c>
      <c r="B10" s="8" t="inlineStr">
        <is>
          <t>Jane Thompson</t>
        </is>
      </c>
      <c r="C10" s="8" t="inlineStr">
        <is>
          <t>Intro/welcome call completed</t>
        </is>
      </c>
      <c r="D10" s="11" t="n">
        <v>46047</v>
      </c>
      <c r="E10" s="8" t="inlineStr">
        <is>
          <t>Program Team</t>
        </is>
      </c>
      <c r="F10" s="8" t="inlineStr"/>
      <c r="G10" s="8" t="inlineStr">
        <is>
          <t>Complete</t>
        </is>
      </c>
    </row>
    <row r="11" ht="18" customHeight="1">
      <c r="A11" s="12" t="inlineStr">
        <is>
          <t>SCH-001</t>
        </is>
      </c>
      <c r="B11" s="12" t="inlineStr">
        <is>
          <t>Jane Thompson</t>
        </is>
      </c>
      <c r="C11" s="12" t="inlineStr">
        <is>
          <t>Portal access set up</t>
        </is>
      </c>
      <c r="D11" s="17" t="n">
        <v>46048</v>
      </c>
      <c r="E11" s="12" t="inlineStr">
        <is>
          <t>Program Team</t>
        </is>
      </c>
      <c r="F11" s="12" t="inlineStr"/>
      <c r="G11" s="12" t="inlineStr">
        <is>
          <t>Complete</t>
        </is>
      </c>
    </row>
    <row r="12" ht="18" customHeight="1">
      <c r="A12" s="8" t="inlineStr">
        <is>
          <t>SCH-001</t>
        </is>
      </c>
      <c r="B12" s="8" t="inlineStr">
        <is>
          <t>Jane Thompson</t>
        </is>
      </c>
      <c r="C12" s="8" t="inlineStr">
        <is>
          <t>First group session attended</t>
        </is>
      </c>
      <c r="D12" s="11" t="n">
        <v>46056</v>
      </c>
      <c r="E12" s="8" t="inlineStr">
        <is>
          <t>Program Team</t>
        </is>
      </c>
      <c r="F12" s="8" t="inlineStr"/>
      <c r="G12" s="8" t="inlineStr">
        <is>
          <t>Complete</t>
        </is>
      </c>
    </row>
    <row r="13" ht="18" customHeight="1">
      <c r="A13" s="12" t="inlineStr">
        <is>
          <t>SCH-001</t>
        </is>
      </c>
      <c r="B13" s="12" t="inlineStr">
        <is>
          <t>Jane Thompson</t>
        </is>
      </c>
      <c r="C13" s="12" t="inlineStr">
        <is>
          <t>First 1:1 session</t>
        </is>
      </c>
      <c r="D13" s="12" t="n"/>
      <c r="E13" s="12" t="inlineStr"/>
      <c r="F13" s="12" t="inlineStr"/>
      <c r="G13" s="12" t="inlineStr">
        <is>
          <t>Pending</t>
        </is>
      </c>
    </row>
    <row r="14" ht="18" customHeight="1">
      <c r="A14" s="8" t="inlineStr">
        <is>
          <t>SCH-001</t>
        </is>
      </c>
      <c r="B14" s="8" t="inlineStr">
        <is>
          <t>Jane Thompson</t>
        </is>
      </c>
      <c r="C14" s="8" t="inlineStr">
        <is>
          <t>First module completed</t>
        </is>
      </c>
      <c r="D14" s="8" t="n"/>
      <c r="E14" s="8" t="inlineStr"/>
      <c r="F14" s="8" t="inlineStr"/>
      <c r="G14" s="8" t="inlineStr">
        <is>
          <t>Pending</t>
        </is>
      </c>
    </row>
    <row r="15" ht="18" customHeight="1">
      <c r="A15" s="12" t="inlineStr">
        <is>
          <t>SCH-001</t>
        </is>
      </c>
      <c r="B15" s="12" t="inlineStr">
        <is>
          <t>Jane Thompson</t>
        </is>
      </c>
      <c r="C15" s="12" t="inlineStr">
        <is>
          <t>First reflection submitted</t>
        </is>
      </c>
      <c r="D15" s="12" t="n"/>
      <c r="E15" s="12" t="inlineStr"/>
      <c r="F15" s="12" t="inlineStr"/>
      <c r="G15" s="12" t="inlineStr">
        <is>
          <t>Pending</t>
        </is>
      </c>
    </row>
    <row r="16" ht="18" customHeight="1">
      <c r="A16" s="8" t="inlineStr">
        <is>
          <t>SCH-001</t>
        </is>
      </c>
      <c r="B16" s="8" t="inlineStr">
        <is>
          <t>Jane Thompson</t>
        </is>
      </c>
      <c r="C16" s="8" t="inlineStr">
        <is>
          <t>30-day check-in completed</t>
        </is>
      </c>
      <c r="D16" s="8" t="n"/>
      <c r="E16" s="8" t="inlineStr"/>
      <c r="F16" s="8" t="inlineStr"/>
      <c r="G16" s="8" t="inlineStr">
        <is>
          <t>Pending</t>
        </is>
      </c>
    </row>
    <row r="17" ht="18" customHeight="1">
      <c r="A17" s="12" t="inlineStr">
        <is>
          <t>SCH-001</t>
        </is>
      </c>
      <c r="B17" s="12" t="inlineStr">
        <is>
          <t>Jane Thompson</t>
        </is>
      </c>
      <c r="C17" s="12" t="inlineStr">
        <is>
          <t>60-day check-in completed</t>
        </is>
      </c>
      <c r="D17" s="12" t="n"/>
      <c r="E17" s="12" t="inlineStr"/>
      <c r="F17" s="12" t="inlineStr"/>
      <c r="G17" s="12" t="inlineStr">
        <is>
          <t>Pending</t>
        </is>
      </c>
    </row>
    <row r="18" ht="18" customHeight="1">
      <c r="A18" s="8" t="inlineStr">
        <is>
          <t>SCH-001</t>
        </is>
      </c>
      <c r="B18" s="8" t="inlineStr">
        <is>
          <t>Jane Thompson</t>
        </is>
      </c>
      <c r="C18" s="8" t="inlineStr">
        <is>
          <t>90-day check-in completed</t>
        </is>
      </c>
      <c r="D18" s="8" t="n"/>
      <c r="E18" s="8" t="inlineStr"/>
      <c r="F18" s="8" t="inlineStr"/>
      <c r="G18" s="8" t="inlineStr">
        <is>
          <t>Pending</t>
        </is>
      </c>
    </row>
    <row r="19" ht="18" customHeight="1">
      <c r="A19" s="12" t="inlineStr">
        <is>
          <t>SCH-002</t>
        </is>
      </c>
      <c r="B19" s="12" t="inlineStr">
        <is>
          <t>Marcus Webb</t>
        </is>
      </c>
      <c r="C19" s="12" t="inlineStr">
        <is>
          <t>Application received</t>
        </is>
      </c>
      <c r="D19" s="17" t="n">
        <v>46054</v>
      </c>
      <c r="E19" s="12" t="inlineStr">
        <is>
          <t>Program Team</t>
        </is>
      </c>
      <c r="F19" s="12" t="inlineStr"/>
      <c r="G19" s="12" t="inlineStr">
        <is>
          <t>Complete</t>
        </is>
      </c>
    </row>
    <row r="20" ht="18" customHeight="1">
      <c r="A20" s="8" t="inlineStr">
        <is>
          <t>SCH-002</t>
        </is>
      </c>
      <c r="B20" s="8" t="inlineStr">
        <is>
          <t>Marcus Webb</t>
        </is>
      </c>
      <c r="C20" s="8" t="inlineStr">
        <is>
          <t>Application reviewed</t>
        </is>
      </c>
      <c r="D20" s="11" t="n">
        <v>46055</v>
      </c>
      <c r="E20" s="8" t="inlineStr">
        <is>
          <t>Program Team</t>
        </is>
      </c>
      <c r="F20" s="8" t="inlineStr"/>
      <c r="G20" s="8" t="inlineStr">
        <is>
          <t>Complete</t>
        </is>
      </c>
    </row>
    <row r="21" ht="18" customHeight="1">
      <c r="A21" s="12" t="inlineStr">
        <is>
          <t>SCH-002</t>
        </is>
      </c>
      <c r="B21" s="12" t="inlineStr">
        <is>
          <t>Marcus Webb</t>
        </is>
      </c>
      <c r="C21" s="12" t="inlineStr">
        <is>
          <t>Scholarship offered</t>
        </is>
      </c>
      <c r="D21" s="17" t="n">
        <v>46056</v>
      </c>
      <c r="E21" s="12" t="inlineStr">
        <is>
          <t>Program Team</t>
        </is>
      </c>
      <c r="F21" s="12" t="inlineStr"/>
      <c r="G21" s="12" t="inlineStr">
        <is>
          <t>Complete</t>
        </is>
      </c>
    </row>
    <row r="22" ht="18" customHeight="1">
      <c r="A22" s="8" t="inlineStr">
        <is>
          <t>SCH-002</t>
        </is>
      </c>
      <c r="B22" s="8" t="inlineStr">
        <is>
          <t>Marcus Webb</t>
        </is>
      </c>
      <c r="C22" s="8" t="inlineStr">
        <is>
          <t>Agreement sent</t>
        </is>
      </c>
      <c r="D22" s="11" t="n">
        <v>46057</v>
      </c>
      <c r="E22" s="8" t="inlineStr">
        <is>
          <t>Program Team</t>
        </is>
      </c>
      <c r="F22" s="8" t="inlineStr"/>
      <c r="G22" s="8" t="inlineStr">
        <is>
          <t>Complete</t>
        </is>
      </c>
    </row>
    <row r="23" ht="18" customHeight="1">
      <c r="A23" s="12" t="inlineStr">
        <is>
          <t>SCH-002</t>
        </is>
      </c>
      <c r="B23" s="12" t="inlineStr">
        <is>
          <t>Marcus Webb</t>
        </is>
      </c>
      <c r="C23" s="12" t="inlineStr">
        <is>
          <t>Agreement signed</t>
        </is>
      </c>
      <c r="D23" s="17" t="n">
        <v>46058</v>
      </c>
      <c r="E23" s="12" t="inlineStr">
        <is>
          <t>Program Team</t>
        </is>
      </c>
      <c r="F23" s="12" t="inlineStr"/>
      <c r="G23" s="12" t="inlineStr">
        <is>
          <t>Complete</t>
        </is>
      </c>
    </row>
    <row r="24" ht="18" customHeight="1">
      <c r="A24" s="8" t="inlineStr">
        <is>
          <t>SCH-002</t>
        </is>
      </c>
      <c r="B24" s="8" t="inlineStr">
        <is>
          <t>Marcus Webb</t>
        </is>
      </c>
      <c r="C24" s="8" t="inlineStr">
        <is>
          <t>Welcome email sent</t>
        </is>
      </c>
      <c r="D24" s="11" t="n">
        <v>46059</v>
      </c>
      <c r="E24" s="8" t="inlineStr">
        <is>
          <t>Program Team</t>
        </is>
      </c>
      <c r="F24" s="8" t="inlineStr"/>
      <c r="G24" s="8" t="inlineStr">
        <is>
          <t>Complete</t>
        </is>
      </c>
    </row>
    <row r="25" ht="18" customHeight="1">
      <c r="A25" s="12" t="inlineStr">
        <is>
          <t>SCH-002</t>
        </is>
      </c>
      <c r="B25" s="12" t="inlineStr">
        <is>
          <t>Marcus Webb</t>
        </is>
      </c>
      <c r="C25" s="12" t="inlineStr">
        <is>
          <t>Intro/welcome call booked</t>
        </is>
      </c>
      <c r="D25" s="17" t="n">
        <v>46060</v>
      </c>
      <c r="E25" s="12" t="inlineStr">
        <is>
          <t>Program Team</t>
        </is>
      </c>
      <c r="F25" s="12" t="inlineStr"/>
      <c r="G25" s="12" t="inlineStr">
        <is>
          <t>Complete</t>
        </is>
      </c>
    </row>
    <row r="26" ht="18" customHeight="1">
      <c r="A26" s="8" t="inlineStr">
        <is>
          <t>SCH-002</t>
        </is>
      </c>
      <c r="B26" s="8" t="inlineStr">
        <is>
          <t>Marcus Webb</t>
        </is>
      </c>
      <c r="C26" s="8" t="inlineStr">
        <is>
          <t>Intro/welcome call completed</t>
        </is>
      </c>
      <c r="D26" s="11" t="n">
        <v>46063</v>
      </c>
      <c r="E26" s="8" t="inlineStr">
        <is>
          <t>Program Team</t>
        </is>
      </c>
      <c r="F26" s="8" t="inlineStr"/>
      <c r="G26" s="8" t="inlineStr">
        <is>
          <t>Complete</t>
        </is>
      </c>
    </row>
    <row r="27" ht="18" customHeight="1">
      <c r="A27" s="12" t="inlineStr">
        <is>
          <t>SCH-002</t>
        </is>
      </c>
      <c r="B27" s="12" t="inlineStr">
        <is>
          <t>Marcus Webb</t>
        </is>
      </c>
      <c r="C27" s="12" t="inlineStr">
        <is>
          <t>Portal access set up</t>
        </is>
      </c>
      <c r="D27" s="12" t="n"/>
      <c r="E27" s="12" t="inlineStr"/>
      <c r="F27" s="12" t="inlineStr"/>
      <c r="G27" s="12" t="inlineStr">
        <is>
          <t>Pending</t>
        </is>
      </c>
    </row>
    <row r="28" ht="18" customHeight="1">
      <c r="A28" s="8" t="inlineStr">
        <is>
          <t>SCH-002</t>
        </is>
      </c>
      <c r="B28" s="8" t="inlineStr">
        <is>
          <t>Marcus Webb</t>
        </is>
      </c>
      <c r="C28" s="8" t="inlineStr">
        <is>
          <t>First group session attended</t>
        </is>
      </c>
      <c r="D28" s="8" t="n"/>
      <c r="E28" s="8" t="inlineStr"/>
      <c r="F28" s="8" t="inlineStr"/>
      <c r="G28" s="8" t="inlineStr">
        <is>
          <t>Pending</t>
        </is>
      </c>
    </row>
    <row r="29" ht="18" customHeight="1">
      <c r="A29" s="12" t="inlineStr">
        <is>
          <t>SCH-002</t>
        </is>
      </c>
      <c r="B29" s="12" t="inlineStr">
        <is>
          <t>Marcus Webb</t>
        </is>
      </c>
      <c r="C29" s="12" t="inlineStr">
        <is>
          <t>First 1:1 session</t>
        </is>
      </c>
      <c r="D29" s="12" t="n"/>
      <c r="E29" s="12" t="inlineStr"/>
      <c r="F29" s="12" t="inlineStr"/>
      <c r="G29" s="12" t="inlineStr">
        <is>
          <t>Pending</t>
        </is>
      </c>
    </row>
    <row r="30" ht="18" customHeight="1">
      <c r="A30" s="8" t="inlineStr">
        <is>
          <t>SCH-002</t>
        </is>
      </c>
      <c r="B30" s="8" t="inlineStr">
        <is>
          <t>Marcus Webb</t>
        </is>
      </c>
      <c r="C30" s="8" t="inlineStr">
        <is>
          <t>First module completed</t>
        </is>
      </c>
      <c r="D30" s="8" t="n"/>
      <c r="E30" s="8" t="inlineStr"/>
      <c r="F30" s="8" t="inlineStr"/>
      <c r="G30" s="8" t="inlineStr">
        <is>
          <t>Pending</t>
        </is>
      </c>
    </row>
    <row r="31" ht="18" customHeight="1">
      <c r="A31" s="12" t="inlineStr">
        <is>
          <t>SCH-002</t>
        </is>
      </c>
      <c r="B31" s="12" t="inlineStr">
        <is>
          <t>Marcus Webb</t>
        </is>
      </c>
      <c r="C31" s="12" t="inlineStr">
        <is>
          <t>First reflection submitted</t>
        </is>
      </c>
      <c r="D31" s="12" t="n"/>
      <c r="E31" s="12" t="inlineStr"/>
      <c r="F31" s="12" t="inlineStr"/>
      <c r="G31" s="12" t="inlineStr">
        <is>
          <t>Pending</t>
        </is>
      </c>
    </row>
    <row r="32" ht="18" customHeight="1">
      <c r="A32" s="8" t="inlineStr">
        <is>
          <t>SCH-002</t>
        </is>
      </c>
      <c r="B32" s="8" t="inlineStr">
        <is>
          <t>Marcus Webb</t>
        </is>
      </c>
      <c r="C32" s="8" t="inlineStr">
        <is>
          <t>30-day check-in completed</t>
        </is>
      </c>
      <c r="D32" s="8" t="n"/>
      <c r="E32" s="8" t="inlineStr"/>
      <c r="F32" s="8" t="inlineStr"/>
      <c r="G32" s="8" t="inlineStr">
        <is>
          <t>Pending</t>
        </is>
      </c>
    </row>
    <row r="33" ht="18" customHeight="1">
      <c r="A33" s="12" t="inlineStr">
        <is>
          <t>SCH-002</t>
        </is>
      </c>
      <c r="B33" s="12" t="inlineStr">
        <is>
          <t>Marcus Webb</t>
        </is>
      </c>
      <c r="C33" s="12" t="inlineStr">
        <is>
          <t>60-day check-in completed</t>
        </is>
      </c>
      <c r="D33" s="12" t="n"/>
      <c r="E33" s="12" t="inlineStr"/>
      <c r="F33" s="12" t="inlineStr"/>
      <c r="G33" s="12" t="inlineStr">
        <is>
          <t>Pending</t>
        </is>
      </c>
    </row>
    <row r="34" ht="18" customHeight="1">
      <c r="A34" s="8" t="inlineStr">
        <is>
          <t>SCH-002</t>
        </is>
      </c>
      <c r="B34" s="8" t="inlineStr">
        <is>
          <t>Marcus Webb</t>
        </is>
      </c>
      <c r="C34" s="8" t="inlineStr">
        <is>
          <t>90-day check-in completed</t>
        </is>
      </c>
      <c r="D34" s="8" t="n"/>
      <c r="E34" s="8" t="inlineStr"/>
      <c r="F34" s="8" t="inlineStr"/>
      <c r="G34" s="8" t="inlineStr">
        <is>
          <t>Pending</t>
        </is>
      </c>
    </row>
    <row r="35" ht="18" customHeight="1">
      <c r="A35" s="12" t="inlineStr">
        <is>
          <t>SCH-003</t>
        </is>
      </c>
      <c r="B35" s="12" t="inlineStr">
        <is>
          <t>Aisha Okonkwo</t>
        </is>
      </c>
      <c r="C35" s="12" t="inlineStr">
        <is>
          <t>Application received</t>
        </is>
      </c>
      <c r="D35" s="17" t="n">
        <v>46068</v>
      </c>
      <c r="E35" s="12" t="inlineStr">
        <is>
          <t>Program Team</t>
        </is>
      </c>
      <c r="F35" s="12" t="inlineStr"/>
      <c r="G35" s="12" t="inlineStr">
        <is>
          <t>Complete</t>
        </is>
      </c>
    </row>
    <row r="36" ht="18" customHeight="1">
      <c r="A36" s="8" t="inlineStr">
        <is>
          <t>SCH-003</t>
        </is>
      </c>
      <c r="B36" s="8" t="inlineStr">
        <is>
          <t>Aisha Okonkwo</t>
        </is>
      </c>
      <c r="C36" s="8" t="inlineStr">
        <is>
          <t>Application reviewed</t>
        </is>
      </c>
      <c r="D36" s="11" t="n">
        <v>46069</v>
      </c>
      <c r="E36" s="8" t="inlineStr">
        <is>
          <t>Program Team</t>
        </is>
      </c>
      <c r="F36" s="8" t="inlineStr"/>
      <c r="G36" s="8" t="inlineStr">
        <is>
          <t>Complete</t>
        </is>
      </c>
    </row>
    <row r="37" ht="18" customHeight="1">
      <c r="A37" s="12" t="inlineStr">
        <is>
          <t>SCH-003</t>
        </is>
      </c>
      <c r="B37" s="12" t="inlineStr">
        <is>
          <t>Aisha Okonkwo</t>
        </is>
      </c>
      <c r="C37" s="12" t="inlineStr">
        <is>
          <t>Scholarship offered</t>
        </is>
      </c>
      <c r="D37" s="17" t="n">
        <v>46070</v>
      </c>
      <c r="E37" s="12" t="inlineStr">
        <is>
          <t>Program Team</t>
        </is>
      </c>
      <c r="F37" s="12" t="inlineStr"/>
      <c r="G37" s="12" t="inlineStr">
        <is>
          <t>Complete</t>
        </is>
      </c>
    </row>
    <row r="38" ht="18" customHeight="1">
      <c r="A38" s="8" t="inlineStr">
        <is>
          <t>SCH-003</t>
        </is>
      </c>
      <c r="B38" s="8" t="inlineStr">
        <is>
          <t>Aisha Okonkwo</t>
        </is>
      </c>
      <c r="C38" s="8" t="inlineStr">
        <is>
          <t>Agreement sent</t>
        </is>
      </c>
      <c r="D38" s="11" t="n">
        <v>46071</v>
      </c>
      <c r="E38" s="8" t="inlineStr">
        <is>
          <t>Program Team</t>
        </is>
      </c>
      <c r="F38" s="8" t="inlineStr"/>
      <c r="G38" s="8" t="inlineStr">
        <is>
          <t>Complete</t>
        </is>
      </c>
    </row>
    <row r="39" ht="18" customHeight="1">
      <c r="A39" s="12" t="inlineStr">
        <is>
          <t>SCH-003</t>
        </is>
      </c>
      <c r="B39" s="12" t="inlineStr">
        <is>
          <t>Aisha Okonkwo</t>
        </is>
      </c>
      <c r="C39" s="12" t="inlineStr">
        <is>
          <t>Agreement signed</t>
        </is>
      </c>
      <c r="D39" s="12" t="n"/>
      <c r="E39" s="12" t="inlineStr"/>
      <c r="F39" s="12" t="inlineStr"/>
      <c r="G39" s="12" t="inlineStr">
        <is>
          <t>Complete</t>
        </is>
      </c>
    </row>
    <row r="40" ht="18" customHeight="1">
      <c r="A40" s="8" t="inlineStr">
        <is>
          <t>SCH-003</t>
        </is>
      </c>
      <c r="B40" s="8" t="inlineStr">
        <is>
          <t>Aisha Okonkwo</t>
        </is>
      </c>
      <c r="C40" s="8" t="inlineStr">
        <is>
          <t>Welcome email sent</t>
        </is>
      </c>
      <c r="D40" s="8" t="n"/>
      <c r="E40" s="8" t="inlineStr"/>
      <c r="F40" s="8" t="inlineStr"/>
      <c r="G40" s="8" t="inlineStr">
        <is>
          <t>Pending</t>
        </is>
      </c>
    </row>
    <row r="41" ht="18" customHeight="1">
      <c r="A41" s="12" t="inlineStr">
        <is>
          <t>SCH-003</t>
        </is>
      </c>
      <c r="B41" s="12" t="inlineStr">
        <is>
          <t>Aisha Okonkwo</t>
        </is>
      </c>
      <c r="C41" s="12" t="inlineStr">
        <is>
          <t>Intro/welcome call booked</t>
        </is>
      </c>
      <c r="D41" s="12" t="n"/>
      <c r="E41" s="12" t="inlineStr"/>
      <c r="F41" s="12" t="inlineStr"/>
      <c r="G41" s="12" t="inlineStr">
        <is>
          <t>Pending</t>
        </is>
      </c>
    </row>
    <row r="42" ht="18" customHeight="1">
      <c r="A42" s="8" t="inlineStr">
        <is>
          <t>SCH-003</t>
        </is>
      </c>
      <c r="B42" s="8" t="inlineStr">
        <is>
          <t>Aisha Okonkwo</t>
        </is>
      </c>
      <c r="C42" s="8" t="inlineStr">
        <is>
          <t>Intro/welcome call completed</t>
        </is>
      </c>
      <c r="D42" s="8" t="n"/>
      <c r="E42" s="8" t="inlineStr"/>
      <c r="F42" s="8" t="inlineStr"/>
      <c r="G42" s="8" t="inlineStr">
        <is>
          <t>Pending</t>
        </is>
      </c>
    </row>
    <row r="43" ht="18" customHeight="1">
      <c r="A43" s="12" t="inlineStr">
        <is>
          <t>SCH-003</t>
        </is>
      </c>
      <c r="B43" s="12" t="inlineStr">
        <is>
          <t>Aisha Okonkwo</t>
        </is>
      </c>
      <c r="C43" s="12" t="inlineStr">
        <is>
          <t>Portal access set up</t>
        </is>
      </c>
      <c r="D43" s="12" t="n"/>
      <c r="E43" s="12" t="inlineStr"/>
      <c r="F43" s="12" t="inlineStr"/>
      <c r="G43" s="12" t="inlineStr">
        <is>
          <t>Pending</t>
        </is>
      </c>
    </row>
    <row r="44" ht="18" customHeight="1">
      <c r="A44" s="8" t="inlineStr">
        <is>
          <t>SCH-003</t>
        </is>
      </c>
      <c r="B44" s="8" t="inlineStr">
        <is>
          <t>Aisha Okonkwo</t>
        </is>
      </c>
      <c r="C44" s="8" t="inlineStr">
        <is>
          <t>First group session attended</t>
        </is>
      </c>
      <c r="D44" s="8" t="n"/>
      <c r="E44" s="8" t="inlineStr"/>
      <c r="F44" s="8" t="inlineStr"/>
      <c r="G44" s="8" t="inlineStr">
        <is>
          <t>Pending</t>
        </is>
      </c>
    </row>
    <row r="45" ht="18" customHeight="1">
      <c r="A45" s="12" t="inlineStr">
        <is>
          <t>SCH-003</t>
        </is>
      </c>
      <c r="B45" s="12" t="inlineStr">
        <is>
          <t>Aisha Okonkwo</t>
        </is>
      </c>
      <c r="C45" s="12" t="inlineStr">
        <is>
          <t>First 1:1 session</t>
        </is>
      </c>
      <c r="D45" s="12" t="n"/>
      <c r="E45" s="12" t="inlineStr"/>
      <c r="F45" s="12" t="inlineStr"/>
      <c r="G45" s="12" t="inlineStr">
        <is>
          <t>Pending</t>
        </is>
      </c>
    </row>
    <row r="46" ht="18" customHeight="1">
      <c r="A46" s="8" t="inlineStr">
        <is>
          <t>SCH-003</t>
        </is>
      </c>
      <c r="B46" s="8" t="inlineStr">
        <is>
          <t>Aisha Okonkwo</t>
        </is>
      </c>
      <c r="C46" s="8" t="inlineStr">
        <is>
          <t>First module completed</t>
        </is>
      </c>
      <c r="D46" s="8" t="n"/>
      <c r="E46" s="8" t="inlineStr"/>
      <c r="F46" s="8" t="inlineStr"/>
      <c r="G46" s="8" t="inlineStr">
        <is>
          <t>Pending</t>
        </is>
      </c>
    </row>
    <row r="47" ht="18" customHeight="1">
      <c r="A47" s="12" t="inlineStr">
        <is>
          <t>SCH-003</t>
        </is>
      </c>
      <c r="B47" s="12" t="inlineStr">
        <is>
          <t>Aisha Okonkwo</t>
        </is>
      </c>
      <c r="C47" s="12" t="inlineStr">
        <is>
          <t>First reflection submitted</t>
        </is>
      </c>
      <c r="D47" s="12" t="n"/>
      <c r="E47" s="12" t="inlineStr"/>
      <c r="F47" s="12" t="inlineStr"/>
      <c r="G47" s="12" t="inlineStr">
        <is>
          <t>Pending</t>
        </is>
      </c>
    </row>
    <row r="48" ht="18" customHeight="1">
      <c r="A48" s="8" t="inlineStr">
        <is>
          <t>SCH-003</t>
        </is>
      </c>
      <c r="B48" s="8" t="inlineStr">
        <is>
          <t>Aisha Okonkwo</t>
        </is>
      </c>
      <c r="C48" s="8" t="inlineStr">
        <is>
          <t>30-day check-in completed</t>
        </is>
      </c>
      <c r="D48" s="8" t="n"/>
      <c r="E48" s="8" t="inlineStr"/>
      <c r="F48" s="8" t="inlineStr"/>
      <c r="G48" s="8" t="inlineStr">
        <is>
          <t>Pending</t>
        </is>
      </c>
    </row>
    <row r="49" ht="18" customHeight="1">
      <c r="A49" s="12" t="inlineStr">
        <is>
          <t>SCH-003</t>
        </is>
      </c>
      <c r="B49" s="12" t="inlineStr">
        <is>
          <t>Aisha Okonkwo</t>
        </is>
      </c>
      <c r="C49" s="12" t="inlineStr">
        <is>
          <t>60-day check-in completed</t>
        </is>
      </c>
      <c r="D49" s="12" t="n"/>
      <c r="E49" s="12" t="inlineStr"/>
      <c r="F49" s="12" t="inlineStr"/>
      <c r="G49" s="12" t="inlineStr">
        <is>
          <t>Pending</t>
        </is>
      </c>
    </row>
    <row r="50" ht="18" customHeight="1">
      <c r="A50" s="8" t="inlineStr">
        <is>
          <t>SCH-003</t>
        </is>
      </c>
      <c r="B50" s="8" t="inlineStr">
        <is>
          <t>Aisha Okonkwo</t>
        </is>
      </c>
      <c r="C50" s="8" t="inlineStr">
        <is>
          <t>90-day check-in completed</t>
        </is>
      </c>
      <c r="D50" s="8" t="n"/>
      <c r="E50" s="8" t="inlineStr"/>
      <c r="F50" s="8" t="inlineStr"/>
      <c r="G50" s="8" t="inlineStr">
        <is>
          <t>Pending</t>
        </is>
      </c>
    </row>
  </sheetData>
  <mergeCells count="1">
    <mergeCell ref="A1:G1"/>
  </mergeCells>
  <dataValidations count="1">
    <dataValidation sqref="G3:G1000" showDropDown="0" showInputMessage="0" showErrorMessage="0" allowBlank="1" type="list">
      <formula1>"Complete,Pending,Not applicable"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F37"/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24" customWidth="1" min="4" max="4"/>
    <col width="20" customWidth="1" min="5" max="5"/>
    <col width="24" customWidth="1" min="6" max="6"/>
    <col width="22" customWidth="1" min="7" max="7"/>
    <col width="22" customWidth="1" min="8" max="8"/>
    <col width="28" customWidth="1" min="9" max="9"/>
    <col width="18" customWidth="1" min="10" max="10"/>
    <col width="25" customWidth="1" min="11" max="11"/>
    <col width="40" customWidth="1" min="12" max="12"/>
    <col width="20" customWidth="1" min="13" max="13"/>
  </cols>
  <sheetData>
    <row r="1" ht="22" customHeight="1">
      <c r="A1" s="4" t="inlineStr">
        <is>
          <t>Recipient ID</t>
        </is>
      </c>
      <c r="B1" s="4" t="inlineStr">
        <is>
          <t>Week Starting (Monday)</t>
        </is>
      </c>
      <c r="C1" s="4" t="inlineStr">
        <is>
          <t>Sessions Attended This Week</t>
        </is>
      </c>
      <c r="D1" s="4" t="inlineStr">
        <is>
          <t>Hours Self-Directed Work</t>
        </is>
      </c>
      <c r="E1" s="4" t="inlineStr">
        <is>
          <t>Modules Completed</t>
        </is>
      </c>
      <c r="F1" s="4" t="inlineStr">
        <is>
          <t>Applications Submitted</t>
        </is>
      </c>
      <c r="G1" s="4" t="inlineStr">
        <is>
          <t>Reflections Submitted</t>
        </is>
      </c>
      <c r="H1" s="4" t="inlineStr">
        <is>
          <t>Coach Outreach Sent</t>
        </is>
      </c>
      <c r="I1" s="4" t="inlineStr">
        <is>
          <t>Recipient Outreach Received</t>
        </is>
      </c>
      <c r="J1" s="4" t="inlineStr">
        <is>
          <t>Engagement Score</t>
        </is>
      </c>
      <c r="K1" s="4" t="inlineStr">
        <is>
          <t>Met Minimum Commitment?</t>
        </is>
      </c>
      <c r="L1" s="4" t="inlineStr">
        <is>
          <t>Coach Comment</t>
        </is>
      </c>
      <c r="M1" s="4" t="inlineStr">
        <is>
          <t>Flag for Follow-Up?</t>
        </is>
      </c>
    </row>
    <row r="2" ht="18" customHeight="1">
      <c r="A2" s="13" t="inlineStr">
        <is>
          <t>SCH-001</t>
        </is>
      </c>
      <c r="B2" s="14" t="n">
        <v>46147</v>
      </c>
      <c r="C2" s="13" t="n">
        <v>2</v>
      </c>
      <c r="D2" s="13" t="n">
        <v>3</v>
      </c>
      <c r="E2" s="13" t="n">
        <v>1</v>
      </c>
      <c r="F2" s="13" t="n">
        <v>2</v>
      </c>
      <c r="G2" s="13" t="n">
        <v>1</v>
      </c>
      <c r="H2" s="13" t="inlineStr">
        <is>
          <t>No</t>
        </is>
      </c>
      <c r="I2" s="13" t="inlineStr">
        <is>
          <t>Yes</t>
        </is>
      </c>
      <c r="J2" s="13">
        <f>IFERROR(IF(C2&gt;=1,2,0)+IF(D2&gt;=2,1,0)+IF((E2+F2+G2)&gt;=1,1,0)+IF(I2="Yes",1,0),"")</f>
        <v/>
      </c>
      <c r="K2" s="13">
        <f>IFERROR(IF(AND(C2&gt;=1,D2&gt;=2),"Yes","No"),"")</f>
        <v/>
      </c>
      <c r="L2" s="13" t="inlineStr">
        <is>
          <t>Strong week - submitted 2 applications</t>
        </is>
      </c>
      <c r="M2" s="13" t="inlineStr">
        <is>
          <t>No</t>
        </is>
      </c>
    </row>
    <row r="3" ht="18" customHeight="1">
      <c r="A3" s="13" t="inlineStr">
        <is>
          <t>SCH-001</t>
        </is>
      </c>
      <c r="B3" s="14" t="n">
        <v>46154</v>
      </c>
      <c r="C3" s="13" t="n">
        <v>1</v>
      </c>
      <c r="D3" s="13" t="n">
        <v>2</v>
      </c>
      <c r="E3" s="13" t="n">
        <v>0</v>
      </c>
      <c r="F3" s="13" t="n">
        <v>1</v>
      </c>
      <c r="G3" s="13" t="n">
        <v>1</v>
      </c>
      <c r="H3" s="13" t="inlineStr">
        <is>
          <t>No</t>
        </is>
      </c>
      <c r="I3" s="13" t="inlineStr">
        <is>
          <t>No</t>
        </is>
      </c>
      <c r="J3" s="13">
        <f>IFERROR(IF(C3&gt;=1,2,0)+IF(D3&gt;=2,1,0)+IF((E3+F3+G3)&gt;=1,1,0)+IF(I3="Yes",1,0),"")</f>
        <v/>
      </c>
      <c r="K3" s="13">
        <f>IFERROR(IF(AND(C3&gt;=1,D3&gt;=2),"Yes","No"),"")</f>
        <v/>
      </c>
      <c r="L3" s="13" t="inlineStr">
        <is>
          <t>Steady progress</t>
        </is>
      </c>
      <c r="M3" s="13" t="inlineStr">
        <is>
          <t>No</t>
        </is>
      </c>
    </row>
    <row r="4" ht="18" customHeight="1">
      <c r="A4" s="13" t="inlineStr">
        <is>
          <t>SCH-002</t>
        </is>
      </c>
      <c r="B4" s="14" t="n">
        <v>46147</v>
      </c>
      <c r="C4" s="13" t="n">
        <v>1</v>
      </c>
      <c r="D4" s="13" t="n">
        <v>2</v>
      </c>
      <c r="E4" s="13" t="n">
        <v>2</v>
      </c>
      <c r="F4" s="13" t="n">
        <v>0</v>
      </c>
      <c r="G4" s="13" t="n">
        <v>1</v>
      </c>
      <c r="H4" s="13" t="inlineStr">
        <is>
          <t>No</t>
        </is>
      </c>
      <c r="I4" s="13" t="inlineStr">
        <is>
          <t>No</t>
        </is>
      </c>
      <c r="J4" s="13">
        <f>IFERROR(IF(C4&gt;=1,2,0)+IF(D4&gt;=2,1,0)+IF((E4+F4+G4)&gt;=1,1,0)+IF(I4="Yes",1,0),"")</f>
        <v/>
      </c>
      <c r="K4" s="13">
        <f>IFERROR(IF(AND(C4&gt;=1,D4&gt;=2),"Yes","No"),"")</f>
        <v/>
      </c>
      <c r="L4" s="13" t="inlineStr">
        <is>
          <t>Good module completion rate</t>
        </is>
      </c>
      <c r="M4" s="13" t="inlineStr">
        <is>
          <t>No</t>
        </is>
      </c>
    </row>
    <row r="5" ht="18" customHeight="1">
      <c r="A5" s="13" t="inlineStr">
        <is>
          <t>SCH-002</t>
        </is>
      </c>
      <c r="B5" s="14" t="n">
        <v>46154</v>
      </c>
      <c r="C5" s="13" t="n">
        <v>2</v>
      </c>
      <c r="D5" s="13" t="n">
        <v>4</v>
      </c>
      <c r="E5" s="13" t="n">
        <v>1</v>
      </c>
      <c r="F5" s="13" t="n">
        <v>1</v>
      </c>
      <c r="G5" s="13" t="n">
        <v>0</v>
      </c>
      <c r="H5" s="13" t="inlineStr">
        <is>
          <t>No</t>
        </is>
      </c>
      <c r="I5" s="13" t="inlineStr">
        <is>
          <t>Yes</t>
        </is>
      </c>
      <c r="J5" s="13">
        <f>IFERROR(IF(C5&gt;=1,2,0)+IF(D5&gt;=2,1,0)+IF((E5+F5+G5)&gt;=1,1,0)+IF(I5="Yes",1,0),"")</f>
        <v/>
      </c>
      <c r="K5" s="13">
        <f>IFERROR(IF(AND(C5&gt;=1,D5&gt;=2),"Yes","No"),"")</f>
        <v/>
      </c>
      <c r="L5" s="13" t="inlineStr">
        <is>
          <t>Excellent engagement this week</t>
        </is>
      </c>
      <c r="M5" s="13" t="inlineStr">
        <is>
          <t>No</t>
        </is>
      </c>
    </row>
    <row r="6" ht="18" customHeight="1">
      <c r="A6" s="13" t="inlineStr">
        <is>
          <t>SCH-003</t>
        </is>
      </c>
      <c r="B6" s="14" t="n">
        <v>46147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inlineStr">
        <is>
          <t>Yes</t>
        </is>
      </c>
      <c r="I6" s="13" t="inlineStr">
        <is>
          <t>No</t>
        </is>
      </c>
      <c r="J6" s="13">
        <f>IFERROR(IF(C6&gt;=1,2,0)+IF(D6&gt;=2,1,0)+IF((E6+F6+G6)&gt;=1,1,0)+IF(I6="Yes",1,0),"")</f>
        <v/>
      </c>
      <c r="K6" s="13">
        <f>IFERROR(IF(AND(C6&gt;=1,D6&gt;=2),"Yes","No"),"")</f>
        <v/>
      </c>
      <c r="L6" s="13" t="inlineStr">
        <is>
          <t>No engagement - outreach sent</t>
        </is>
      </c>
      <c r="M6" s="13" t="inlineStr">
        <is>
          <t>Yes</t>
        </is>
      </c>
    </row>
    <row r="7" ht="18" customHeight="1">
      <c r="A7" s="13" t="inlineStr">
        <is>
          <t>SCH-003</t>
        </is>
      </c>
      <c r="B7" s="14" t="n">
        <v>46154</v>
      </c>
      <c r="C7" s="13" t="n">
        <v>0</v>
      </c>
      <c r="D7" s="13" t="n">
        <v>1</v>
      </c>
      <c r="E7" s="13" t="n">
        <v>0</v>
      </c>
      <c r="F7" s="13" t="n">
        <v>0</v>
      </c>
      <c r="G7" s="13" t="n">
        <v>0</v>
      </c>
      <c r="H7" s="13" t="inlineStr">
        <is>
          <t>Yes</t>
        </is>
      </c>
      <c r="I7" s="13" t="inlineStr">
        <is>
          <t>No</t>
        </is>
      </c>
      <c r="J7" s="13">
        <f>IFERROR(IF(C7&gt;=1,2,0)+IF(D7&gt;=2,1,0)+IF((E7+F7+G7)&gt;=1,1,0)+IF(I7="Yes",1,0),"")</f>
        <v/>
      </c>
      <c r="K7" s="13">
        <f>IFERROR(IF(AND(C7&gt;=1,D7&gt;=2),"Yes","No"),"")</f>
        <v/>
      </c>
      <c r="L7" s="13" t="inlineStr">
        <is>
          <t>Minimal engagement - follow up required</t>
        </is>
      </c>
      <c r="M7" s="13" t="inlineStr">
        <is>
          <t>Yes</t>
        </is>
      </c>
    </row>
  </sheetData>
  <conditionalFormatting sqref="K2:K1000">
    <cfRule type="expression" priority="1" dxfId="3">
      <formula>K2="No"</formula>
    </cfRule>
  </conditionalFormatting>
  <conditionalFormatting sqref="M2:M1000">
    <cfRule type="expression" priority="2" dxfId="4">
      <formula>M2="Yes"</formula>
    </cfRule>
  </conditionalFormatting>
  <conditionalFormatting sqref="J2:J1000">
    <cfRule type="expression" priority="3" dxfId="5">
      <formula>J2&lt;2</formula>
    </cfRule>
  </conditionalFormatting>
  <dataValidations count="4">
    <dataValidation sqref="A2:A1000" showDropDown="0" showInputMessage="0" showErrorMessage="0" allowBlank="1" type="list">
      <formula1>"SCH-001,SCH-002,SCH-003"</formula1>
    </dataValidation>
    <dataValidation sqref="H2:H1000" showDropDown="0" showInputMessage="0" showErrorMessage="0" allowBlank="1" type="list">
      <formula1>'Reference Data'!$J$2:$J$3</formula1>
    </dataValidation>
    <dataValidation sqref="I2:I1000" showDropDown="0" showInputMessage="0" showErrorMessage="0" allowBlank="1" type="list">
      <formula1>'Reference Data'!$J$2:$J$3</formula1>
    </dataValidation>
    <dataValidation sqref="M2:M1000" showDropDown="0" showInputMessage="0" showErrorMessage="0" allowBlank="1" type="list">
      <formula1>'Reference Data'!$J$2:$J$3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4AF37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16" customWidth="1" min="5" max="5"/>
    <col width="12" customWidth="1" min="6" max="6"/>
    <col width="30" customWidth="1" min="7" max="7"/>
    <col width="40" customWidth="1" min="8" max="8"/>
    <col width="40" customWidth="1" min="9" max="9"/>
    <col width="18" customWidth="1" min="10" max="10"/>
  </cols>
  <sheetData>
    <row r="1" ht="22" customHeight="1">
      <c r="A1" s="4" t="inlineStr">
        <is>
          <t>Date</t>
        </is>
      </c>
      <c r="B1" s="4" t="inlineStr">
        <is>
          <t>Recipient ID</t>
        </is>
      </c>
      <c r="C1" s="4" t="inlineStr">
        <is>
          <t>Session Type</t>
        </is>
      </c>
      <c r="D1" s="4" t="inlineStr">
        <is>
          <t>Coach</t>
        </is>
      </c>
      <c r="E1" s="4" t="inlineStr">
        <is>
          <t>Duration (min)</t>
        </is>
      </c>
      <c r="F1" s="4" t="inlineStr">
        <is>
          <t>Attended?</t>
        </is>
      </c>
      <c r="G1" s="4" t="inlineStr">
        <is>
          <t>Topic</t>
        </is>
      </c>
      <c r="H1" s="4" t="inlineStr">
        <is>
          <t>Key Takeaways</t>
        </is>
      </c>
      <c r="I1" s="4" t="inlineStr">
        <is>
          <t>Action Items Set</t>
        </is>
      </c>
      <c r="J1" s="4" t="inlineStr">
        <is>
          <t>Action Items Status</t>
        </is>
      </c>
    </row>
    <row r="2" ht="18" customHeight="1">
      <c r="A2" s="14" t="n">
        <v>46148</v>
      </c>
      <c r="B2" s="13" t="inlineStr">
        <is>
          <t>SCH-001</t>
        </is>
      </c>
      <c r="C2" s="13" t="inlineStr">
        <is>
          <t>Group</t>
        </is>
      </c>
      <c r="D2" s="13" t="inlineStr">
        <is>
          <t>Sarah Mitchell</t>
        </is>
      </c>
      <c r="E2" s="13" t="n">
        <v>90</v>
      </c>
      <c r="F2" s="13" t="inlineStr">
        <is>
          <t>Yes</t>
        </is>
      </c>
      <c r="G2" s="13" t="inlineStr">
        <is>
          <t>Resume Masterclass</t>
        </is>
      </c>
      <c r="H2" s="13" t="inlineStr">
        <is>
          <t>Learned to tailor resume for ATS</t>
        </is>
      </c>
      <c r="I2" s="13" t="inlineStr">
        <is>
          <t>Update summary section and skills list</t>
        </is>
      </c>
      <c r="J2" s="13" t="inlineStr">
        <is>
          <t>Done</t>
        </is>
      </c>
    </row>
    <row r="3" ht="18" customHeight="1">
      <c r="A3" s="14" t="n">
        <v>46148</v>
      </c>
      <c r="B3" s="13" t="inlineStr">
        <is>
          <t>SCH-002</t>
        </is>
      </c>
      <c r="C3" s="13" t="inlineStr">
        <is>
          <t>Group</t>
        </is>
      </c>
      <c r="D3" s="13" t="inlineStr">
        <is>
          <t>Sarah Mitchell</t>
        </is>
      </c>
      <c r="E3" s="13" t="n">
        <v>90</v>
      </c>
      <c r="F3" s="13" t="inlineStr">
        <is>
          <t>Yes</t>
        </is>
      </c>
      <c r="G3" s="13" t="inlineStr">
        <is>
          <t>Resume Masterclass</t>
        </is>
      </c>
      <c r="H3" s="13" t="inlineStr">
        <is>
          <t>Strong structure already in place</t>
        </is>
      </c>
      <c r="I3" s="13" t="inlineStr">
        <is>
          <t>Add quantified achievements</t>
        </is>
      </c>
      <c r="J3" s="13" t="inlineStr">
        <is>
          <t>Partial</t>
        </is>
      </c>
    </row>
    <row r="4" ht="18" customHeight="1">
      <c r="A4" s="14" t="n">
        <v>46148</v>
      </c>
      <c r="B4" s="13" t="inlineStr">
        <is>
          <t>SCH-003</t>
        </is>
      </c>
      <c r="C4" s="13" t="inlineStr">
        <is>
          <t>Group</t>
        </is>
      </c>
      <c r="D4" s="13" t="inlineStr">
        <is>
          <t>James Hartley</t>
        </is>
      </c>
      <c r="E4" s="13" t="n">
        <v>90</v>
      </c>
      <c r="F4" s="13" t="inlineStr">
        <is>
          <t>No</t>
        </is>
      </c>
      <c r="G4" s="13" t="inlineStr">
        <is>
          <t>Resume Masterclass</t>
        </is>
      </c>
      <c r="H4" s="13" t="inlineStr"/>
      <c r="I4" s="13" t="inlineStr">
        <is>
          <t>Follow up on attendance</t>
        </is>
      </c>
      <c r="J4" s="13" t="inlineStr">
        <is>
          <t>Not Done</t>
        </is>
      </c>
    </row>
    <row r="5" ht="18" customHeight="1">
      <c r="A5" s="14" t="n">
        <v>46149</v>
      </c>
      <c r="B5" s="13" t="inlineStr">
        <is>
          <t>SCH-001</t>
        </is>
      </c>
      <c r="C5" s="13" t="inlineStr">
        <is>
          <t>1:1</t>
        </is>
      </c>
      <c r="D5" s="13" t="inlineStr">
        <is>
          <t>Sarah Mitchell</t>
        </is>
      </c>
      <c r="E5" s="13" t="n">
        <v>45</v>
      </c>
      <c r="F5" s="13" t="inlineStr">
        <is>
          <t>Yes</t>
        </is>
      </c>
      <c r="G5" s="13" t="inlineStr">
        <is>
          <t>Career direction clarity</t>
        </is>
      </c>
      <c r="H5" s="13" t="inlineStr">
        <is>
          <t>Identified 3 target roles</t>
        </is>
      </c>
      <c r="I5" s="13" t="inlineStr">
        <is>
          <t>Research job descriptions for each role</t>
        </is>
      </c>
      <c r="J5" s="13" t="inlineStr">
        <is>
          <t>Done</t>
        </is>
      </c>
    </row>
    <row r="6" ht="18" customHeight="1">
      <c r="A6" s="14" t="n">
        <v>46150</v>
      </c>
      <c r="B6" s="13" t="inlineStr">
        <is>
          <t>SCH-002</t>
        </is>
      </c>
      <c r="C6" s="13" t="inlineStr">
        <is>
          <t>1:1</t>
        </is>
      </c>
      <c r="D6" s="13" t="inlineStr">
        <is>
          <t>Emma Clarke</t>
        </is>
      </c>
      <c r="E6" s="13" t="n">
        <v>45</v>
      </c>
      <c r="F6" s="13" t="inlineStr">
        <is>
          <t>Yes</t>
        </is>
      </c>
      <c r="G6" s="13" t="inlineStr">
        <is>
          <t>Salary benchmarking</t>
        </is>
      </c>
      <c r="H6" s="13" t="inlineStr">
        <is>
          <t>Clarified market rate expectations</t>
        </is>
      </c>
      <c r="I6" s="13" t="inlineStr">
        <is>
          <t>Complete salary research template</t>
        </is>
      </c>
      <c r="J6" s="13" t="inlineStr">
        <is>
          <t>Partial</t>
        </is>
      </c>
    </row>
    <row r="7" ht="18" customHeight="1">
      <c r="A7" s="14" t="n">
        <v>46155</v>
      </c>
      <c r="B7" s="13" t="inlineStr">
        <is>
          <t>SCH-001</t>
        </is>
      </c>
      <c r="C7" s="13" t="inlineStr">
        <is>
          <t>Group</t>
        </is>
      </c>
      <c r="D7" s="13" t="inlineStr">
        <is>
          <t>Sarah Mitchell</t>
        </is>
      </c>
      <c r="E7" s="13" t="n">
        <v>90</v>
      </c>
      <c r="F7" s="13" t="inlineStr">
        <is>
          <t>Yes</t>
        </is>
      </c>
      <c r="G7" s="13" t="inlineStr">
        <is>
          <t>Interview Prep</t>
        </is>
      </c>
      <c r="H7" s="13" t="inlineStr">
        <is>
          <t>Practised STAR method responses</t>
        </is>
      </c>
      <c r="I7" s="13" t="inlineStr">
        <is>
          <t>Record practice answers</t>
        </is>
      </c>
      <c r="J7" s="13" t="inlineStr">
        <is>
          <t>Not Done</t>
        </is>
      </c>
    </row>
  </sheetData>
  <dataValidations count="4">
    <dataValidation sqref="C2:C1000" showDropDown="0" showInputMessage="0" showErrorMessage="0" allowBlank="1" type="list">
      <formula1>'Reference Data'!$F$2:$F$5</formula1>
    </dataValidation>
    <dataValidation sqref="D2:D1000" showDropDown="0" showInputMessage="0" showErrorMessage="0" allowBlank="1" type="list">
      <formula1>'Reference Data'!$A$2:$A$5</formula1>
    </dataValidation>
    <dataValidation sqref="F2:F1000" showDropDown="0" showInputMessage="0" showErrorMessage="0" allowBlank="1" type="list">
      <formula1>'Reference Data'!$K$2:$K$5</formula1>
    </dataValidation>
    <dataValidation sqref="J2:J1000" showDropDown="0" showInputMessage="0" showErrorMessage="0" allowBlank="1" type="list">
      <formula1>'Reference Data'!$L$2:$L$4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4AF37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40" customWidth="1" min="4" max="4"/>
    <col width="14" customWidth="1" min="5" max="5"/>
    <col width="18" customWidth="1" min="6" max="6"/>
    <col width="22" customWidth="1" min="7" max="7"/>
    <col width="20" customWidth="1" min="8" max="8"/>
    <col width="40" customWidth="1" min="9" max="9"/>
  </cols>
  <sheetData>
    <row r="1" ht="22" customHeight="1">
      <c r="A1" s="4" t="inlineStr">
        <is>
          <t>Date</t>
        </is>
      </c>
      <c r="B1" s="4" t="inlineStr">
        <is>
          <t>Recipient ID</t>
        </is>
      </c>
      <c r="C1" s="4" t="inlineStr">
        <is>
          <t>Activity Type</t>
        </is>
      </c>
      <c r="D1" s="4" t="inlineStr">
        <is>
          <t>Activity Name</t>
        </is>
      </c>
      <c r="E1" s="4" t="inlineStr">
        <is>
          <t>Status</t>
        </is>
      </c>
      <c r="F1" s="4" t="inlineStr">
        <is>
          <t>Time Spent (min)</t>
        </is>
      </c>
      <c r="G1" s="4" t="inlineStr">
        <is>
          <t>Coach Feedback Given?</t>
        </is>
      </c>
      <c r="H1" s="4" t="inlineStr">
        <is>
          <t>Coach Feedback Date</t>
        </is>
      </c>
      <c r="I1" s="4" t="inlineStr">
        <is>
          <t>Notes</t>
        </is>
      </c>
    </row>
    <row r="2" ht="18" customHeight="1">
      <c r="A2" s="14" t="n">
        <v>46147</v>
      </c>
      <c r="B2" s="13" t="inlineStr">
        <is>
          <t>SCH-001</t>
        </is>
      </c>
      <c r="C2" s="13" t="inlineStr">
        <is>
          <t>Module</t>
        </is>
      </c>
      <c r="D2" s="13" t="inlineStr">
        <is>
          <t>Winning Applicants Formula</t>
        </is>
      </c>
      <c r="E2" s="13" t="inlineStr">
        <is>
          <t>Completed</t>
        </is>
      </c>
      <c r="F2" s="13" t="n">
        <v>45</v>
      </c>
      <c r="G2" s="13" t="inlineStr">
        <is>
          <t>Yes</t>
        </is>
      </c>
      <c r="H2" s="14" t="n">
        <v>46148</v>
      </c>
      <c r="I2" s="13" t="inlineStr">
        <is>
          <t>Great engagement with content</t>
        </is>
      </c>
    </row>
    <row r="3" ht="18" customHeight="1">
      <c r="A3" s="14" t="n">
        <v>46147</v>
      </c>
      <c r="B3" s="13" t="inlineStr">
        <is>
          <t>SCH-002</t>
        </is>
      </c>
      <c r="C3" s="13" t="inlineStr">
        <is>
          <t>Module</t>
        </is>
      </c>
      <c r="D3" s="13" t="inlineStr">
        <is>
          <t>Career Blueprint Builder</t>
        </is>
      </c>
      <c r="E3" s="13" t="inlineStr">
        <is>
          <t>Completed</t>
        </is>
      </c>
      <c r="F3" s="13" t="n">
        <v>60</v>
      </c>
      <c r="G3" s="13" t="inlineStr">
        <is>
          <t>No</t>
        </is>
      </c>
      <c r="H3" s="13" t="n"/>
      <c r="I3" s="13" t="inlineStr">
        <is>
          <t>Self-directed completion</t>
        </is>
      </c>
    </row>
    <row r="4" ht="18" customHeight="1">
      <c r="A4" s="14" t="n">
        <v>46148</v>
      </c>
      <c r="B4" s="13" t="inlineStr">
        <is>
          <t>SCH-001</t>
        </is>
      </c>
      <c r="C4" s="13" t="inlineStr">
        <is>
          <t>Application</t>
        </is>
      </c>
      <c r="D4" s="13" t="inlineStr">
        <is>
          <t>Senior Project Manager - City Council</t>
        </is>
      </c>
      <c r="E4" s="13" t="inlineStr">
        <is>
          <t>Completed</t>
        </is>
      </c>
      <c r="F4" s="13" t="n">
        <v>120</v>
      </c>
      <c r="G4" s="13" t="inlineStr">
        <is>
          <t>No</t>
        </is>
      </c>
      <c r="H4" s="13" t="n"/>
      <c r="I4" s="13" t="inlineStr">
        <is>
          <t>Tailored cover letter included</t>
        </is>
      </c>
    </row>
    <row r="5" ht="18" customHeight="1">
      <c r="A5" s="14" t="n">
        <v>46149</v>
      </c>
      <c r="B5" s="13" t="inlineStr">
        <is>
          <t>SCH-002</t>
        </is>
      </c>
      <c r="C5" s="13" t="inlineStr">
        <is>
          <t>Reflection</t>
        </is>
      </c>
      <c r="D5" s="13" t="inlineStr">
        <is>
          <t>Week 1 Reflection</t>
        </is>
      </c>
      <c r="E5" s="13" t="inlineStr">
        <is>
          <t>Completed</t>
        </is>
      </c>
      <c r="F5" s="13" t="n">
        <v>30</v>
      </c>
      <c r="G5" s="13" t="inlineStr">
        <is>
          <t>Yes</t>
        </is>
      </c>
      <c r="H5" s="14" t="n">
        <v>46150</v>
      </c>
      <c r="I5" s="13" t="inlineStr">
        <is>
          <t>Insightful reflection on barriers</t>
        </is>
      </c>
    </row>
    <row r="6" ht="18" customHeight="1">
      <c r="A6" s="14" t="n">
        <v>46150</v>
      </c>
      <c r="B6" s="13" t="inlineStr">
        <is>
          <t>SCH-003</t>
        </is>
      </c>
      <c r="C6" s="13" t="inlineStr">
        <is>
          <t>Module</t>
        </is>
      </c>
      <c r="D6" s="13" t="inlineStr">
        <is>
          <t>Reset Your Mindset</t>
        </is>
      </c>
      <c r="E6" s="13" t="inlineStr">
        <is>
          <t>Started</t>
        </is>
      </c>
      <c r="F6" s="13" t="n">
        <v>20</v>
      </c>
      <c r="G6" s="13" t="inlineStr">
        <is>
          <t>No</t>
        </is>
      </c>
      <c r="H6" s="13" t="n"/>
      <c r="I6" s="13" t="inlineStr">
        <is>
          <t>Did not complete - flagged</t>
        </is>
      </c>
    </row>
    <row r="7" ht="18" customHeight="1">
      <c r="A7" s="14" t="n">
        <v>46152</v>
      </c>
      <c r="B7" s="13" t="inlineStr">
        <is>
          <t>SCH-001</t>
        </is>
      </c>
      <c r="C7" s="13" t="inlineStr">
        <is>
          <t>Application</t>
        </is>
      </c>
      <c r="D7" s="13" t="inlineStr">
        <is>
          <t>Communications Manager - DHHS</t>
        </is>
      </c>
      <c r="E7" s="13" t="inlineStr">
        <is>
          <t>Completed</t>
        </is>
      </c>
      <c r="F7" s="13" t="n">
        <v>90</v>
      </c>
      <c r="G7" s="13" t="inlineStr">
        <is>
          <t>No</t>
        </is>
      </c>
      <c r="H7" s="13" t="n"/>
      <c r="I7" s="13" t="inlineStr">
        <is>
          <t>Second application this week</t>
        </is>
      </c>
    </row>
  </sheetData>
  <dataValidations count="3">
    <dataValidation sqref="C2:C1000" showDropDown="0" showInputMessage="0" showErrorMessage="0" allowBlank="1" type="list">
      <formula1>'Reference Data'!$G$2:$G$6</formula1>
    </dataValidation>
    <dataValidation sqref="E2:E1000" showDropDown="0" showInputMessage="0" showErrorMessage="0" allowBlank="1" type="list">
      <formula1>"Started,Completed,Stuck"</formula1>
    </dataValidation>
    <dataValidation sqref="G2:G1000" showDropDown="0" showInputMessage="0" showErrorMessage="0" allowBlank="1" type="list">
      <formula1>'Reference Data'!$J$2:$J$3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4AF37"/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55" customWidth="1" min="4" max="4"/>
    <col width="22" customWidth="1" min="5" max="5"/>
    <col width="45" customWidth="1" min="6" max="6"/>
    <col width="12" customWidth="1" min="7" max="7"/>
    <col width="18" customWidth="1" min="8" max="8"/>
  </cols>
  <sheetData>
    <row r="1" ht="22" customHeight="1">
      <c r="A1" s="18" t="inlineStr">
        <is>
          <t>CONFIDENTIAL — For coaching team use only. Do not share with recipients.</t>
        </is>
      </c>
    </row>
    <row r="2" ht="22" customHeight="1">
      <c r="A2" s="4" t="inlineStr">
        <is>
          <t>Date</t>
        </is>
      </c>
      <c r="B2" s="4" t="inlineStr">
        <is>
          <t>Recipient ID</t>
        </is>
      </c>
      <c r="C2" s="4" t="inlineStr">
        <is>
          <t>Note Type</t>
        </is>
      </c>
      <c r="D2" s="4" t="inlineStr">
        <is>
          <t>Note (Confidential)</t>
        </is>
      </c>
      <c r="E2" s="4" t="inlineStr">
        <is>
          <t>Flag for Team Review?</t>
        </is>
      </c>
      <c r="F2" s="4" t="inlineStr">
        <is>
          <t>Action Needed</t>
        </is>
      </c>
      <c r="G2" s="4" t="inlineStr">
        <is>
          <t>Resolved?</t>
        </is>
      </c>
      <c r="H2" s="4" t="inlineStr">
        <is>
          <t>Resolution Date</t>
        </is>
      </c>
    </row>
    <row r="3" ht="30" customHeight="1">
      <c r="A3" s="14" t="n">
        <v>46148</v>
      </c>
      <c r="B3" s="13" t="inlineStr">
        <is>
          <t>SCH-001</t>
        </is>
      </c>
      <c r="C3" s="13" t="inlineStr">
        <is>
          <t>Win</t>
        </is>
      </c>
      <c r="D3" s="13" t="inlineStr">
        <is>
          <t>Jane secured an interview for a role she applied to independently before joining the program. Huge confidence boost.</t>
        </is>
      </c>
      <c r="E3" s="13" t="inlineStr">
        <is>
          <t>No</t>
        </is>
      </c>
      <c r="F3" s="13" t="inlineStr"/>
      <c r="G3" s="13" t="inlineStr">
        <is>
          <t>Yes</t>
        </is>
      </c>
      <c r="H3" s="14" t="n">
        <v>46149</v>
      </c>
    </row>
    <row r="4" ht="30" customHeight="1">
      <c r="A4" s="14" t="n">
        <v>46149</v>
      </c>
      <c r="B4" s="13" t="inlineStr">
        <is>
          <t>SCH-002</t>
        </is>
      </c>
      <c r="C4" s="13" t="inlineStr">
        <is>
          <t>Coaching observation</t>
        </is>
      </c>
      <c r="D4" s="13" t="inlineStr">
        <is>
          <t>Marcus shows strong technical knowledge but struggles with self-advocacy in mock interviews. Focus 1:1 time here.</t>
        </is>
      </c>
      <c r="E4" s="13" t="inlineStr">
        <is>
          <t>No</t>
        </is>
      </c>
      <c r="F4" s="13" t="inlineStr">
        <is>
          <t>Dedicate next 1:1 to confidence + storytelling</t>
        </is>
      </c>
      <c r="G4" s="13" t="inlineStr">
        <is>
          <t>No</t>
        </is>
      </c>
      <c r="H4" s="13" t="n"/>
    </row>
    <row r="5" ht="30" customHeight="1">
      <c r="A5" s="14" t="n">
        <v>46150</v>
      </c>
      <c r="B5" s="13" t="inlineStr">
        <is>
          <t>SCH-003</t>
        </is>
      </c>
      <c r="C5" s="13" t="inlineStr">
        <is>
          <t>Wellbeing</t>
        </is>
      </c>
      <c r="D5" s="13" t="inlineStr">
        <is>
          <t>Aisha disclosed she is experiencing financial stress related to her redundancy. May impact engagement.</t>
        </is>
      </c>
      <c r="E5" s="13" t="inlineStr">
        <is>
          <t>Yes</t>
        </is>
      </c>
      <c r="F5" s="13" t="inlineStr">
        <is>
          <t>Check in personally this week - consider flexibility options</t>
        </is>
      </c>
      <c r="G5" s="13" t="inlineStr">
        <is>
          <t>No</t>
        </is>
      </c>
      <c r="H5" s="13" t="n"/>
    </row>
    <row r="6" ht="30" customHeight="1">
      <c r="A6" s="14" t="n">
        <v>46151</v>
      </c>
      <c r="B6" s="13" t="inlineStr">
        <is>
          <t>SCH-003</t>
        </is>
      </c>
      <c r="C6" s="13" t="inlineStr">
        <is>
          <t>Concern</t>
        </is>
      </c>
      <c r="D6" s="13" t="inlineStr">
        <is>
          <t>No response to 2 outreach attempts. Risk of early withdrawal.</t>
        </is>
      </c>
      <c r="E6" s="13" t="inlineStr">
        <is>
          <t>Yes</t>
        </is>
      </c>
      <c r="F6" s="13" t="inlineStr">
        <is>
          <t>Escalate to program lead if no response by 16 May</t>
        </is>
      </c>
      <c r="G6" s="13" t="inlineStr">
        <is>
          <t>No</t>
        </is>
      </c>
      <c r="H6" s="13" t="n"/>
    </row>
    <row r="7" ht="30" customHeight="1">
      <c r="A7" s="14" t="n">
        <v>46152</v>
      </c>
      <c r="B7" s="13" t="inlineStr">
        <is>
          <t>SCH-001</t>
        </is>
      </c>
      <c r="C7" s="13" t="inlineStr">
        <is>
          <t>Coaching observation</t>
        </is>
      </c>
      <c r="D7" s="13" t="inlineStr">
        <is>
          <t>Jane is progressing faster than expected. Consider whether she needs stretch goals added to her plan.</t>
        </is>
      </c>
      <c r="E7" s="13" t="inlineStr">
        <is>
          <t>No</t>
        </is>
      </c>
      <c r="F7" s="13" t="inlineStr">
        <is>
          <t>Discuss in next supervision</t>
        </is>
      </c>
      <c r="G7" s="13" t="inlineStr">
        <is>
          <t>No</t>
        </is>
      </c>
      <c r="H7" s="13" t="n"/>
    </row>
  </sheetData>
  <mergeCells count="1">
    <mergeCell ref="A1:H1"/>
  </mergeCells>
  <conditionalFormatting sqref="A3:A1000">
    <cfRule type="expression" priority="1" dxfId="2">
      <formula>$E3="Yes"</formula>
    </cfRule>
  </conditionalFormatting>
  <conditionalFormatting sqref="B3:B1000">
    <cfRule type="expression" priority="2" dxfId="2">
      <formula>$E3="Yes"</formula>
    </cfRule>
  </conditionalFormatting>
  <conditionalFormatting sqref="C3:C1000">
    <cfRule type="expression" priority="3" dxfId="2">
      <formula>$E3="Yes"</formula>
    </cfRule>
  </conditionalFormatting>
  <conditionalFormatting sqref="D3:D1000">
    <cfRule type="expression" priority="4" dxfId="2">
      <formula>$E3="Yes"</formula>
    </cfRule>
  </conditionalFormatting>
  <conditionalFormatting sqref="E3:E1000">
    <cfRule type="expression" priority="5" dxfId="2">
      <formula>$E3="Yes"</formula>
    </cfRule>
  </conditionalFormatting>
  <conditionalFormatting sqref="F3:F1000">
    <cfRule type="expression" priority="6" dxfId="2">
      <formula>$E3="Yes"</formula>
    </cfRule>
  </conditionalFormatting>
  <conditionalFormatting sqref="G3:G1000">
    <cfRule type="expression" priority="7" dxfId="2">
      <formula>$E3="Yes"</formula>
    </cfRule>
  </conditionalFormatting>
  <conditionalFormatting sqref="H3:H1000">
    <cfRule type="expression" priority="8" dxfId="2">
      <formula>$E3="Yes"</formula>
    </cfRule>
  </conditionalFormatting>
  <dataValidations count="3">
    <dataValidation sqref="C3:C1000" showDropDown="0" showInputMessage="0" showErrorMessage="0" allowBlank="1" type="list">
      <formula1>'Reference Data'!$C$2:$C$7</formula1>
    </dataValidation>
    <dataValidation sqref="E3:E1000" showDropDown="0" showInputMessage="0" showErrorMessage="0" allowBlank="1" type="list">
      <formula1>'Reference Data'!$J$2:$J$3</formula1>
    </dataValidation>
    <dataValidation sqref="G3:G1000" showDropDown="0" showInputMessage="0" showErrorMessage="0" allowBlank="1" type="list">
      <formula1>'Reference Data'!$J$2:$J$3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63746"/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28" customWidth="1" min="4" max="4"/>
    <col width="12" customWidth="1" min="5" max="5"/>
    <col width="30" customWidth="1" min="6" max="6"/>
    <col width="20" customWidth="1" min="7" max="7"/>
    <col width="45" customWidth="1" min="8" max="8"/>
    <col width="30" customWidth="1" min="9" max="9"/>
    <col width="20" customWidth="1" min="10" max="10"/>
  </cols>
  <sheetData>
    <row r="1" ht="20" customHeight="1">
      <c r="A1" s="19" t="inlineStr">
        <is>
          <t>VIEW ONLY — Auto-populated from Recipient Profile and Weekly Engagement Log. Do not edit.</t>
        </is>
      </c>
    </row>
    <row r="2" ht="22" customHeight="1">
      <c r="A2" s="4" t="inlineStr">
        <is>
          <t>Recipient ID</t>
        </is>
      </c>
      <c r="B2" s="4" t="inlineStr">
        <is>
          <t>Recipient Name</t>
        </is>
      </c>
      <c r="C2" s="4" t="inlineStr">
        <is>
          <t>Days Since Last Engagement</t>
        </is>
      </c>
      <c r="D2" s="4" t="inlineStr">
        <is>
          <t>Last Week Engagement Score</t>
        </is>
      </c>
      <c r="E2" s="4" t="inlineStr">
        <is>
          <t>Risk Level</t>
        </is>
      </c>
      <c r="F2" s="4" t="inlineStr">
        <is>
          <t>Outreach Attempts (Last 14 days)</t>
        </is>
      </c>
      <c r="G2" s="4" t="inlineStr">
        <is>
          <t>Last Outreach Date</t>
        </is>
      </c>
      <c r="H2" s="4" t="inlineStr">
        <is>
          <t>Recommended Action</t>
        </is>
      </c>
      <c r="I2" s="4" t="inlineStr">
        <is>
          <t>Status</t>
        </is>
      </c>
      <c r="J2" s="4" t="inlineStr">
        <is>
          <t>Owner</t>
        </is>
      </c>
    </row>
    <row r="3" ht="18" customHeight="1">
      <c r="A3" s="13">
        <f>IF('Recipient Profile'!A2&lt;&gt;"", 'Recipient Profile'!A2, "")</f>
        <v/>
      </c>
      <c r="B3" s="13">
        <f>'Recipient Profile'!B2</f>
        <v/>
      </c>
      <c r="C3" s="13">
        <f>'Recipient Profile'!N2</f>
        <v/>
      </c>
      <c r="D3" s="13" t="n">
        <v>4</v>
      </c>
      <c r="E3" s="13">
        <f>'Recipient Profile'!O2</f>
        <v/>
      </c>
      <c r="F3" s="13" t="n">
        <v>0</v>
      </c>
      <c r="G3" s="13" t="n"/>
      <c r="H3" s="13">
        <f>IF(E3="Red","Begin withdrawal conversation per agreement clause 3",IF(E3="Amber","Send check-in message — warm tone",IF(E3="Green","On track — continue normal cadence","—")))</f>
        <v/>
      </c>
      <c r="I3" s="13" t="inlineStr">
        <is>
          <t>Acknowledged</t>
        </is>
      </c>
      <c r="J3" s="13" t="inlineStr">
        <is>
          <t>Sarah Mitchell</t>
        </is>
      </c>
    </row>
    <row r="4" ht="18" customHeight="1">
      <c r="A4" s="13">
        <f>IF('Recipient Profile'!A3&lt;&gt;"", 'Recipient Profile'!A3, "")</f>
        <v/>
      </c>
      <c r="B4" s="13">
        <f>'Recipient Profile'!B3</f>
        <v/>
      </c>
      <c r="C4" s="13">
        <f>'Recipient Profile'!N3</f>
        <v/>
      </c>
      <c r="D4" s="13" t="n">
        <v>4</v>
      </c>
      <c r="E4" s="13">
        <f>'Recipient Profile'!O3</f>
        <v/>
      </c>
      <c r="F4" s="13" t="n">
        <v>0</v>
      </c>
      <c r="G4" s="13" t="n"/>
      <c r="H4" s="13">
        <f>IF(E4="Red","Begin withdrawal conversation per agreement clause 3",IF(E4="Amber","Send check-in message — warm tone",IF(E4="Green","On track — continue normal cadence","—")))</f>
        <v/>
      </c>
      <c r="I4" s="13" t="inlineStr">
        <is>
          <t>Acknowledged</t>
        </is>
      </c>
      <c r="J4" s="13" t="inlineStr">
        <is>
          <t>Emma Clarke</t>
        </is>
      </c>
    </row>
    <row r="5" ht="18" customHeight="1">
      <c r="A5" s="13">
        <f>IF('Recipient Profile'!A4&lt;&gt;"", 'Recipient Profile'!A4, "")</f>
        <v/>
      </c>
      <c r="B5" s="13">
        <f>'Recipient Profile'!B4</f>
        <v/>
      </c>
      <c r="C5" s="13">
        <f>'Recipient Profile'!N4</f>
        <v/>
      </c>
      <c r="D5" s="13" t="n">
        <v>0</v>
      </c>
      <c r="E5" s="13">
        <f>'Recipient Profile'!O4</f>
        <v/>
      </c>
      <c r="F5" s="13" t="n">
        <v>2</v>
      </c>
      <c r="G5" s="14" t="n">
        <v>46154</v>
      </c>
      <c r="H5" s="13">
        <f>IF(E5="Red","Begin withdrawal conversation per agreement clause 3",IF(E5="Amber","Send check-in message — warm tone",IF(E5="Green","On track — continue normal cadence","—")))</f>
        <v/>
      </c>
      <c r="I5" s="13" t="inlineStr">
        <is>
          <t>In Conversation</t>
        </is>
      </c>
      <c r="J5" s="13" t="inlineStr">
        <is>
          <t>James Hartley</t>
        </is>
      </c>
    </row>
  </sheetData>
  <mergeCells count="1">
    <mergeCell ref="A1:J1"/>
  </mergeCells>
  <conditionalFormatting sqref="E3:E1000">
    <cfRule type="expression" priority="1" dxfId="0">
      <formula>E3="Green"</formula>
    </cfRule>
    <cfRule type="expression" priority="2" dxfId="1">
      <formula>E3="Amber"</formula>
    </cfRule>
    <cfRule type="expression" priority="3" dxfId="2">
      <formula>E3="Red"</formula>
    </cfRule>
  </conditionalFormatting>
  <dataValidations count="1">
    <dataValidation sqref="I3:I1000" showDropDown="0" showInputMessage="0" showErrorMessage="0" allowBlank="1" type="list">
      <formula1>'Reference Data'!$M$2:$M$5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4AF37"/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20" customWidth="1" min="5" max="5"/>
    <col width="50" customWidth="1" min="6" max="6"/>
    <col width="20" customWidth="1" min="7" max="7"/>
    <col width="16" customWidth="1" min="8" max="8"/>
    <col width="40" customWidth="1" min="9" max="9"/>
  </cols>
  <sheetData>
    <row r="1" ht="22" customHeight="1">
      <c r="A1" s="4" t="inlineStr">
        <is>
          <t>Date</t>
        </is>
      </c>
      <c r="B1" s="4" t="inlineStr">
        <is>
          <t>Recipient ID</t>
        </is>
      </c>
      <c r="C1" s="4" t="inlineStr">
        <is>
          <t>Direction</t>
        </is>
      </c>
      <c r="D1" s="4" t="inlineStr">
        <is>
          <t>Channel</t>
        </is>
      </c>
      <c r="E1" s="4" t="inlineStr">
        <is>
          <t>Sender</t>
        </is>
      </c>
      <c r="F1" s="4" t="inlineStr">
        <is>
          <t>Subject / Summary</t>
        </is>
      </c>
      <c r="G1" s="4" t="inlineStr">
        <is>
          <t>Response Received?</t>
        </is>
      </c>
      <c r="H1" s="4" t="inlineStr">
        <is>
          <t>Response Date</t>
        </is>
      </c>
      <c r="I1" s="4" t="inlineStr">
        <is>
          <t>Notes</t>
        </is>
      </c>
    </row>
    <row r="2" ht="18" customHeight="1">
      <c r="A2" s="14" t="n">
        <v>46148</v>
      </c>
      <c r="B2" s="13" t="inlineStr">
        <is>
          <t>SCH-001</t>
        </is>
      </c>
      <c r="C2" s="13" t="inlineStr">
        <is>
          <t>Outbound</t>
        </is>
      </c>
      <c r="D2" s="13" t="inlineStr">
        <is>
          <t>Email</t>
        </is>
      </c>
      <c r="E2" s="13" t="inlineStr">
        <is>
          <t>Sarah Mitchell</t>
        </is>
      </c>
      <c r="F2" s="13" t="inlineStr">
        <is>
          <t>Welcome to the CAP Scholarship Program — next steps inside</t>
        </is>
      </c>
      <c r="G2" s="13" t="inlineStr">
        <is>
          <t>Yes</t>
        </is>
      </c>
      <c r="H2" s="14" t="n">
        <v>46148</v>
      </c>
      <c r="I2" s="13" t="inlineStr">
        <is>
          <t>Jane responded enthusiastically within the hour</t>
        </is>
      </c>
    </row>
    <row r="3" ht="18" customHeight="1">
      <c r="A3" s="14" t="n">
        <v>46150</v>
      </c>
      <c r="B3" s="13" t="inlineStr">
        <is>
          <t>SCH-003</t>
        </is>
      </c>
      <c r="C3" s="13" t="inlineStr">
        <is>
          <t>Outbound</t>
        </is>
      </c>
      <c r="D3" s="13" t="inlineStr">
        <is>
          <t>Email</t>
        </is>
      </c>
      <c r="E3" s="13" t="inlineStr">
        <is>
          <t>James Hartley</t>
        </is>
      </c>
      <c r="F3" s="13" t="inlineStr">
        <is>
          <t>Checking in — we missed you at group coaching this week</t>
        </is>
      </c>
      <c r="G3" s="13" t="inlineStr">
        <is>
          <t>No</t>
        </is>
      </c>
      <c r="H3" s="13" t="n"/>
      <c r="I3" s="13" t="inlineStr">
        <is>
          <t>No response received</t>
        </is>
      </c>
    </row>
    <row r="4" ht="18" customHeight="1">
      <c r="A4" s="14" t="n">
        <v>46152</v>
      </c>
      <c r="B4" s="13" t="inlineStr">
        <is>
          <t>SCH-003</t>
        </is>
      </c>
      <c r="C4" s="13" t="inlineStr">
        <is>
          <t>Outbound</t>
        </is>
      </c>
      <c r="D4" s="13" t="inlineStr">
        <is>
          <t>DM</t>
        </is>
      </c>
      <c r="E4" s="13" t="inlineStr">
        <is>
          <t>James Hartley</t>
        </is>
      </c>
      <c r="F4" s="13" t="inlineStr">
        <is>
          <t>Hey Aisha — just wanted to check in and see how you're going</t>
        </is>
      </c>
      <c r="G4" s="13" t="inlineStr">
        <is>
          <t>No</t>
        </is>
      </c>
      <c r="H4" s="13" t="n"/>
      <c r="I4" s="13" t="inlineStr">
        <is>
          <t>Sent via community platform</t>
        </is>
      </c>
    </row>
    <row r="5" ht="18" customHeight="1">
      <c r="A5" s="14" t="n">
        <v>46153</v>
      </c>
      <c r="B5" s="13" t="inlineStr">
        <is>
          <t>SCH-002</t>
        </is>
      </c>
      <c r="C5" s="13" t="inlineStr">
        <is>
          <t>Inbound</t>
        </is>
      </c>
      <c r="D5" s="13" t="inlineStr">
        <is>
          <t>Email</t>
        </is>
      </c>
      <c r="E5" s="13" t="inlineStr">
        <is>
          <t>Emma Clarke</t>
        </is>
      </c>
      <c r="F5" s="13" t="inlineStr">
        <is>
          <t>Question about resume review submission process</t>
        </is>
      </c>
      <c r="G5" s="13" t="inlineStr">
        <is>
          <t>Yes</t>
        </is>
      </c>
      <c r="H5" s="14" t="n">
        <v>46153</v>
      </c>
      <c r="I5" s="13" t="inlineStr">
        <is>
          <t>Replied with booking link and instructions</t>
        </is>
      </c>
    </row>
    <row r="6" ht="18" customHeight="1">
      <c r="A6" s="14" t="n">
        <v>46154</v>
      </c>
      <c r="B6" s="13" t="inlineStr">
        <is>
          <t>SCH-001</t>
        </is>
      </c>
      <c r="C6" s="13" t="inlineStr">
        <is>
          <t>Inbound</t>
        </is>
      </c>
      <c r="D6" s="13" t="inlineStr">
        <is>
          <t>DM</t>
        </is>
      </c>
      <c r="E6" s="13" t="inlineStr">
        <is>
          <t>Sarah Mitchell</t>
        </is>
      </c>
      <c r="F6" s="13" t="inlineStr">
        <is>
          <t>Exciting news — got an interview!</t>
        </is>
      </c>
      <c r="G6" s="13" t="inlineStr">
        <is>
          <t>Yes</t>
        </is>
      </c>
      <c r="H6" s="14" t="n">
        <v>46154</v>
      </c>
      <c r="I6" s="13" t="inlineStr">
        <is>
          <t>Jane shared great news - logged in Coach Notes too</t>
        </is>
      </c>
    </row>
  </sheetData>
  <dataValidations count="4">
    <dataValidation sqref="C2:C1000" showDropDown="0" showInputMessage="0" showErrorMessage="0" allowBlank="1" type="list">
      <formula1>'Reference Data'!$E$2:$E$3</formula1>
    </dataValidation>
    <dataValidation sqref="D2:D1000" showDropDown="0" showInputMessage="0" showErrorMessage="0" allowBlank="1" type="list">
      <formula1>'Reference Data'!$D$2:$D$6</formula1>
    </dataValidation>
    <dataValidation sqref="E2:E1000" showDropDown="0" showInputMessage="0" showErrorMessage="0" allowBlank="1" type="list">
      <formula1>'Reference Data'!$A$2:$A$5</formula1>
    </dataValidation>
    <dataValidation sqref="G2:G1000" showDropDown="0" showInputMessage="0" showErrorMessage="0" allowBlank="1" type="list">
      <formula1>'Reference Data'!$J$2:$J$3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A8FA3"/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20" t="inlineStr">
        <is>
          <t>Coach Names</t>
        </is>
      </c>
      <c r="B1" s="20" t="inlineStr">
        <is>
          <t>Stage Values</t>
        </is>
      </c>
      <c r="C1" s="20" t="inlineStr">
        <is>
          <t>Note Types</t>
        </is>
      </c>
      <c r="D1" s="20" t="inlineStr">
        <is>
          <t>Channel Types</t>
        </is>
      </c>
      <c r="E1" s="20" t="inlineStr">
        <is>
          <t>Direction</t>
        </is>
      </c>
      <c r="F1" s="20" t="inlineStr">
        <is>
          <t>Session Types</t>
        </is>
      </c>
      <c r="G1" s="20" t="inlineStr">
        <is>
          <t>Activity Types</t>
        </is>
      </c>
      <c r="H1" s="20" t="inlineStr">
        <is>
          <t>Status Options</t>
        </is>
      </c>
      <c r="I1" s="20" t="inlineStr">
        <is>
          <t>Risk Level</t>
        </is>
      </c>
      <c r="J1" s="20" t="inlineStr">
        <is>
          <t>Yes/No</t>
        </is>
      </c>
      <c r="K1" s="20" t="inlineStr">
        <is>
          <t>Attended Options</t>
        </is>
      </c>
      <c r="L1" s="20" t="inlineStr">
        <is>
          <t>Action Status</t>
        </is>
      </c>
      <c r="M1" s="20" t="inlineStr">
        <is>
          <t>Outreach Status</t>
        </is>
      </c>
    </row>
    <row r="2">
      <c r="A2" t="inlineStr">
        <is>
          <t>Sarah Mitchell</t>
        </is>
      </c>
      <c r="B2" t="inlineStr">
        <is>
          <t>Onboarding</t>
        </is>
      </c>
      <c r="C2" t="inlineStr">
        <is>
          <t>Wellbeing</t>
        </is>
      </c>
      <c r="D2" t="inlineStr">
        <is>
          <t>Email</t>
        </is>
      </c>
      <c r="E2" t="inlineStr">
        <is>
          <t>Outbound</t>
        </is>
      </c>
      <c r="F2" t="inlineStr">
        <is>
          <t>Group</t>
        </is>
      </c>
      <c r="G2" t="inlineStr">
        <is>
          <t>Module</t>
        </is>
      </c>
      <c r="H2" t="inlineStr">
        <is>
          <t>Started</t>
        </is>
      </c>
      <c r="I2" t="inlineStr">
        <is>
          <t>Green</t>
        </is>
      </c>
      <c r="J2" t="inlineStr">
        <is>
          <t>Yes</t>
        </is>
      </c>
      <c r="K2" t="inlineStr">
        <is>
          <t>Yes</t>
        </is>
      </c>
      <c r="L2" t="inlineStr">
        <is>
          <t>Done</t>
        </is>
      </c>
      <c r="M2" t="inlineStr">
        <is>
          <t>Acknowledged</t>
        </is>
      </c>
    </row>
    <row r="3">
      <c r="A3" t="inlineStr">
        <is>
          <t>Emma Clarke</t>
        </is>
      </c>
      <c r="B3" t="inlineStr">
        <is>
          <t>Active</t>
        </is>
      </c>
      <c r="C3" t="inlineStr">
        <is>
          <t>Circumstance</t>
        </is>
      </c>
      <c r="D3" t="inlineStr">
        <is>
          <t>SMS</t>
        </is>
      </c>
      <c r="E3" t="inlineStr">
        <is>
          <t>Inbound</t>
        </is>
      </c>
      <c r="F3" t="inlineStr">
        <is>
          <t>1:1</t>
        </is>
      </c>
      <c r="G3" t="inlineStr">
        <is>
          <t>Application</t>
        </is>
      </c>
      <c r="H3" t="inlineStr">
        <is>
          <t>Completed</t>
        </is>
      </c>
      <c r="I3" t="inlineStr">
        <is>
          <t>Amber</t>
        </is>
      </c>
      <c r="J3" t="inlineStr">
        <is>
          <t>No</t>
        </is>
      </c>
      <c r="K3" t="inlineStr">
        <is>
          <t>No</t>
        </is>
      </c>
      <c r="L3" t="inlineStr">
        <is>
          <t>Partial</t>
        </is>
      </c>
      <c r="M3" t="inlineStr">
        <is>
          <t>In Conversation</t>
        </is>
      </c>
    </row>
    <row r="4">
      <c r="A4" t="inlineStr">
        <is>
          <t>James Hartley</t>
        </is>
      </c>
      <c r="B4" t="inlineStr">
        <is>
          <t>At-Risk</t>
        </is>
      </c>
      <c r="C4" t="inlineStr">
        <is>
          <t>Coaching observation</t>
        </is>
      </c>
      <c r="D4" t="inlineStr">
        <is>
          <t>DM</t>
        </is>
      </c>
      <c r="F4" t="inlineStr">
        <is>
          <t>Drop-in</t>
        </is>
      </c>
      <c r="G4" t="inlineStr">
        <is>
          <t>Reflection</t>
        </is>
      </c>
      <c r="H4" t="inlineStr">
        <is>
          <t>Stuck</t>
        </is>
      </c>
      <c r="I4" t="inlineStr">
        <is>
          <t>Red</t>
        </is>
      </c>
      <c r="K4" t="inlineStr">
        <is>
          <t>Late</t>
        </is>
      </c>
      <c r="L4" t="inlineStr">
        <is>
          <t>Not Done</t>
        </is>
      </c>
      <c r="M4" t="inlineStr">
        <is>
          <t>Resolved</t>
        </is>
      </c>
    </row>
    <row r="5">
      <c r="A5" t="inlineStr">
        <is>
          <t>Priya Nair</t>
        </is>
      </c>
      <c r="B5" t="inlineStr">
        <is>
          <t>Paused</t>
        </is>
      </c>
      <c r="C5" t="inlineStr">
        <is>
          <t>Personal disclosure</t>
        </is>
      </c>
      <c r="D5" t="inlineStr">
        <is>
          <t>Voice</t>
        </is>
      </c>
      <c r="F5" t="inlineStr">
        <is>
          <t>Workshop</t>
        </is>
      </c>
      <c r="G5" t="inlineStr">
        <is>
          <t>Task</t>
        </is>
      </c>
      <c r="H5" t="inlineStr">
        <is>
          <t>Done</t>
        </is>
      </c>
      <c r="I5" t="inlineStr">
        <is>
          <t>—</t>
        </is>
      </c>
      <c r="K5" t="inlineStr">
        <is>
          <t>Left Early</t>
        </is>
      </c>
      <c r="M5" t="inlineStr">
        <is>
          <t>Escalating to withdrawal</t>
        </is>
      </c>
    </row>
    <row r="6">
      <c r="B6" t="inlineStr">
        <is>
          <t>Completed</t>
        </is>
      </c>
      <c r="C6" t="inlineStr">
        <is>
          <t>Win</t>
        </is>
      </c>
      <c r="D6" t="inlineStr">
        <is>
          <t>In-person</t>
        </is>
      </c>
      <c r="G6" t="inlineStr">
        <is>
          <t>Resource Accessed</t>
        </is>
      </c>
      <c r="H6" t="inlineStr">
        <is>
          <t>Partial</t>
        </is>
      </c>
    </row>
    <row r="7">
      <c r="B7" t="inlineStr">
        <is>
          <t>Withdrawn</t>
        </is>
      </c>
      <c r="C7" t="inlineStr">
        <is>
          <t>Concern</t>
        </is>
      </c>
      <c r="H7" t="inlineStr">
        <is>
          <t>Not 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2026-05-14T06:07:32Z</dcterms:created>
  <dcterms:modified xsi:type="dcterms:W3CDTF">2026-05-14T06:07:32Z</dcterms:modified>
</cp:coreProperties>
</file>